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iegopazdelavega/Documents/capel/R2/"/>
    </mc:Choice>
  </mc:AlternateContent>
  <xr:revisionPtr revIDLastSave="0" documentId="13_ncr:1_{14C9DF6C-F739-E34C-92FC-BECD50C63556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Set_T" sheetId="1" r:id="rId1"/>
    <sheet name="Set_A" sheetId="2" r:id="rId2"/>
    <sheet name="Set_N" sheetId="3" r:id="rId3"/>
    <sheet name="Set_P" sheetId="4" r:id="rId4"/>
    <sheet name="Demands" sheetId="9" r:id="rId5"/>
    <sheet name="Recipes" sheetId="8" r:id="rId6"/>
    <sheet name="Routes_Taus" sheetId="7" r:id="rId7"/>
    <sheet name="Capacities" sheetId="6" r:id="rId8"/>
    <sheet name="Scalars" sheetId="5" r:id="rId9"/>
    <sheet name="Inv_Inicial_Alcoholes" sheetId="12" r:id="rId10"/>
    <sheet name="Asignacion_de_Grupos_N(p)" sheetId="10" r:id="rId11"/>
    <sheet name="Inv_Inicial_Grupos_N(p)" sheetId="11" r:id="rId12"/>
    <sheet name="LLegadas_Alcoholes_Omega" sheetId="13" r:id="rId13"/>
    <sheet name="Backlog_Inicial" sheetId="14" r:id="rId14"/>
    <sheet name="Inventario_Antiguo_Gamma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9" l="1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82" i="9"/>
</calcChain>
</file>

<file path=xl/sharedStrings.xml><?xml version="1.0" encoding="utf-8"?>
<sst xmlns="http://schemas.openxmlformats.org/spreadsheetml/2006/main" count="391" uniqueCount="59">
  <si>
    <t>a1</t>
  </si>
  <si>
    <t>a2</t>
  </si>
  <si>
    <t>a3</t>
  </si>
  <si>
    <t>n1</t>
  </si>
  <si>
    <t>n2</t>
  </si>
  <si>
    <t>n3</t>
  </si>
  <si>
    <t>reception</t>
  </si>
  <si>
    <t>mixing</t>
  </si>
  <si>
    <t>stabilization</t>
  </si>
  <si>
    <t>refinement</t>
  </si>
  <si>
    <t>L</t>
  </si>
  <si>
    <t>Qmin</t>
  </si>
  <si>
    <t>M</t>
  </si>
  <si>
    <t>Cv</t>
  </si>
  <si>
    <t>Ci_minus</t>
  </si>
  <si>
    <t>p</t>
  </si>
  <si>
    <t>CAP_p</t>
  </si>
  <si>
    <t>CAP_labor</t>
  </si>
  <si>
    <t>n</t>
  </si>
  <si>
    <t>tau</t>
  </si>
  <si>
    <t>Cwip</t>
  </si>
  <si>
    <t>valid</t>
  </si>
  <si>
    <t>a</t>
  </si>
  <si>
    <t>R</t>
  </si>
  <si>
    <t>t</t>
  </si>
  <si>
    <t>D</t>
  </si>
  <si>
    <t>Group</t>
  </si>
  <si>
    <t>N(mixing)</t>
  </si>
  <si>
    <t>N(stabilization)</t>
  </si>
  <si>
    <t>N(refinement)</t>
  </si>
  <si>
    <t>A1</t>
  </si>
  <si>
    <t>A2</t>
  </si>
  <si>
    <t>A3</t>
  </si>
  <si>
    <t>Ia</t>
  </si>
  <si>
    <t>wa</t>
  </si>
  <si>
    <t>I_minus_n</t>
  </si>
  <si>
    <t>u</t>
  </si>
  <si>
    <t>gamma</t>
  </si>
  <si>
    <t>n4</t>
  </si>
  <si>
    <t>n5</t>
  </si>
  <si>
    <t>n6</t>
  </si>
  <si>
    <t>n7</t>
  </si>
  <si>
    <t>n8</t>
  </si>
  <si>
    <t>a4</t>
  </si>
  <si>
    <t>a5</t>
  </si>
  <si>
    <t>a6</t>
  </si>
  <si>
    <t>a7</t>
  </si>
  <si>
    <t>a8</t>
  </si>
  <si>
    <t>a9</t>
  </si>
  <si>
    <t>infusion</t>
  </si>
  <si>
    <t>barrel</t>
  </si>
  <si>
    <t>A4</t>
  </si>
  <si>
    <t>A5</t>
  </si>
  <si>
    <t>A6</t>
  </si>
  <si>
    <t>A7</t>
  </si>
  <si>
    <t>A8</t>
  </si>
  <si>
    <t>n4, n5</t>
  </si>
  <si>
    <t>N(infusion)</t>
  </si>
  <si>
    <t>N(barrel)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</si>
</sst>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/>
    <xf numFmtId="0" fontId="3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89B8D1F-459E-4B97-A9D1-7FED9E19E3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2"/>
  <sheetViews>
    <sheetView workbookViewId="0">
      <selection activeCell="Y81" sqref="Y81"/>
    </sheetView>
  </sheetViews>
  <sheetFormatPr baseColWidth="10" defaultColWidth="9.1640625" defaultRowHeight="15" x14ac:dyDescent="0.2"/>
  <sheetData>
    <row r="1" spans="1:1" x14ac:dyDescent="0.2">
      <c r="A1" s="1" t="s">
        <v>24</v>
      </c>
    </row>
    <row r="2" spans="1:1" x14ac:dyDescent="0.2">
      <c r="A2">
        <v>0</v>
      </c>
    </row>
    <row r="3" spans="1:1" x14ac:dyDescent="0.2">
      <c r="A3">
        <v>1</v>
      </c>
    </row>
    <row r="4" spans="1:1" x14ac:dyDescent="0.2">
      <c r="A4">
        <v>2</v>
      </c>
    </row>
    <row r="5" spans="1:1" x14ac:dyDescent="0.2">
      <c r="A5">
        <v>3</v>
      </c>
    </row>
    <row r="6" spans="1:1" x14ac:dyDescent="0.2">
      <c r="A6">
        <v>4</v>
      </c>
    </row>
    <row r="7" spans="1:1" x14ac:dyDescent="0.2">
      <c r="A7">
        <v>5</v>
      </c>
    </row>
    <row r="8" spans="1:1" x14ac:dyDescent="0.2">
      <c r="A8">
        <v>6</v>
      </c>
    </row>
    <row r="9" spans="1:1" x14ac:dyDescent="0.2">
      <c r="A9">
        <v>7</v>
      </c>
    </row>
    <row r="10" spans="1:1" x14ac:dyDescent="0.2">
      <c r="A10">
        <v>8</v>
      </c>
    </row>
    <row r="11" spans="1:1" x14ac:dyDescent="0.2">
      <c r="A11">
        <v>9</v>
      </c>
    </row>
    <row r="12" spans="1:1" x14ac:dyDescent="0.2">
      <c r="A12">
        <v>10</v>
      </c>
    </row>
    <row r="13" spans="1:1" x14ac:dyDescent="0.2">
      <c r="A13">
        <v>11</v>
      </c>
    </row>
    <row r="14" spans="1:1" x14ac:dyDescent="0.2">
      <c r="A14">
        <v>12</v>
      </c>
    </row>
    <row r="15" spans="1:1" x14ac:dyDescent="0.2">
      <c r="A15">
        <v>13</v>
      </c>
    </row>
    <row r="16" spans="1:1" x14ac:dyDescent="0.2">
      <c r="A16">
        <v>14</v>
      </c>
    </row>
    <row r="17" spans="1:1" x14ac:dyDescent="0.2">
      <c r="A17">
        <v>15</v>
      </c>
    </row>
    <row r="18" spans="1:1" x14ac:dyDescent="0.2">
      <c r="A18">
        <v>16</v>
      </c>
    </row>
    <row r="19" spans="1:1" x14ac:dyDescent="0.2">
      <c r="A19">
        <v>17</v>
      </c>
    </row>
    <row r="20" spans="1:1" x14ac:dyDescent="0.2">
      <c r="A20">
        <v>18</v>
      </c>
    </row>
    <row r="21" spans="1:1" x14ac:dyDescent="0.2">
      <c r="A21">
        <v>19</v>
      </c>
    </row>
    <row r="22" spans="1:1" x14ac:dyDescent="0.2">
      <c r="A22">
        <v>20</v>
      </c>
    </row>
    <row r="23" spans="1:1" x14ac:dyDescent="0.2">
      <c r="A23">
        <v>21</v>
      </c>
    </row>
    <row r="24" spans="1:1" x14ac:dyDescent="0.2">
      <c r="A24">
        <v>22</v>
      </c>
    </row>
    <row r="25" spans="1:1" x14ac:dyDescent="0.2">
      <c r="A25">
        <v>23</v>
      </c>
    </row>
    <row r="26" spans="1:1" x14ac:dyDescent="0.2">
      <c r="A26">
        <v>24</v>
      </c>
    </row>
    <row r="27" spans="1:1" x14ac:dyDescent="0.2">
      <c r="A27">
        <v>25</v>
      </c>
    </row>
    <row r="28" spans="1:1" x14ac:dyDescent="0.2">
      <c r="A28">
        <v>26</v>
      </c>
    </row>
    <row r="29" spans="1:1" x14ac:dyDescent="0.2">
      <c r="A29">
        <v>27</v>
      </c>
    </row>
    <row r="30" spans="1:1" x14ac:dyDescent="0.2">
      <c r="A30">
        <v>28</v>
      </c>
    </row>
    <row r="31" spans="1:1" x14ac:dyDescent="0.2">
      <c r="A31">
        <v>29</v>
      </c>
    </row>
    <row r="32" spans="1:1" x14ac:dyDescent="0.2">
      <c r="A32">
        <v>30</v>
      </c>
    </row>
    <row r="33" spans="1:1" x14ac:dyDescent="0.2">
      <c r="A33">
        <v>31</v>
      </c>
    </row>
    <row r="34" spans="1:1" x14ac:dyDescent="0.2">
      <c r="A34">
        <v>32</v>
      </c>
    </row>
    <row r="35" spans="1:1" x14ac:dyDescent="0.2">
      <c r="A35">
        <v>33</v>
      </c>
    </row>
    <row r="36" spans="1:1" x14ac:dyDescent="0.2">
      <c r="A36">
        <v>34</v>
      </c>
    </row>
    <row r="37" spans="1:1" x14ac:dyDescent="0.2">
      <c r="A37">
        <v>35</v>
      </c>
    </row>
    <row r="38" spans="1:1" x14ac:dyDescent="0.2">
      <c r="A38">
        <v>36</v>
      </c>
    </row>
    <row r="39" spans="1:1" x14ac:dyDescent="0.2">
      <c r="A39">
        <v>37</v>
      </c>
    </row>
    <row r="40" spans="1:1" x14ac:dyDescent="0.2">
      <c r="A40">
        <v>38</v>
      </c>
    </row>
    <row r="41" spans="1:1" x14ac:dyDescent="0.2">
      <c r="A41">
        <v>39</v>
      </c>
    </row>
    <row r="42" spans="1:1" x14ac:dyDescent="0.2">
      <c r="A42">
        <v>40</v>
      </c>
    </row>
    <row r="43" spans="1:1" x14ac:dyDescent="0.2">
      <c r="A43">
        <v>41</v>
      </c>
    </row>
    <row r="44" spans="1:1" x14ac:dyDescent="0.2">
      <c r="A44">
        <v>42</v>
      </c>
    </row>
    <row r="45" spans="1:1" x14ac:dyDescent="0.2">
      <c r="A45">
        <v>43</v>
      </c>
    </row>
    <row r="46" spans="1:1" x14ac:dyDescent="0.2">
      <c r="A46">
        <v>44</v>
      </c>
    </row>
    <row r="47" spans="1:1" x14ac:dyDescent="0.2">
      <c r="A47">
        <v>45</v>
      </c>
    </row>
    <row r="48" spans="1:1" x14ac:dyDescent="0.2">
      <c r="A48">
        <v>46</v>
      </c>
    </row>
    <row r="49" spans="1:1" x14ac:dyDescent="0.2">
      <c r="A49">
        <v>47</v>
      </c>
    </row>
    <row r="50" spans="1:1" x14ac:dyDescent="0.2">
      <c r="A50">
        <v>48</v>
      </c>
    </row>
    <row r="51" spans="1:1" x14ac:dyDescent="0.2">
      <c r="A51">
        <v>49</v>
      </c>
    </row>
    <row r="52" spans="1:1" x14ac:dyDescent="0.2">
      <c r="A52">
        <v>50</v>
      </c>
    </row>
    <row r="53" spans="1:1" x14ac:dyDescent="0.2">
      <c r="A53">
        <v>51</v>
      </c>
    </row>
    <row r="54" spans="1:1" x14ac:dyDescent="0.2">
      <c r="A54">
        <v>52</v>
      </c>
    </row>
    <row r="55" spans="1:1" x14ac:dyDescent="0.2">
      <c r="A55">
        <v>53</v>
      </c>
    </row>
    <row r="56" spans="1:1" x14ac:dyDescent="0.2">
      <c r="A56">
        <v>54</v>
      </c>
    </row>
    <row r="57" spans="1:1" x14ac:dyDescent="0.2">
      <c r="A57">
        <v>55</v>
      </c>
    </row>
    <row r="58" spans="1:1" x14ac:dyDescent="0.2">
      <c r="A58">
        <v>56</v>
      </c>
    </row>
    <row r="59" spans="1:1" x14ac:dyDescent="0.2">
      <c r="A59">
        <v>57</v>
      </c>
    </row>
    <row r="60" spans="1:1" x14ac:dyDescent="0.2">
      <c r="A60">
        <v>58</v>
      </c>
    </row>
    <row r="61" spans="1:1" x14ac:dyDescent="0.2">
      <c r="A61">
        <v>59</v>
      </c>
    </row>
    <row r="62" spans="1:1" x14ac:dyDescent="0.2">
      <c r="A62">
        <v>60</v>
      </c>
    </row>
    <row r="63" spans="1:1" x14ac:dyDescent="0.2">
      <c r="A63">
        <v>61</v>
      </c>
    </row>
    <row r="64" spans="1:1" x14ac:dyDescent="0.2">
      <c r="A64">
        <v>62</v>
      </c>
    </row>
    <row r="65" spans="1:1" x14ac:dyDescent="0.2">
      <c r="A65">
        <v>63</v>
      </c>
    </row>
    <row r="66" spans="1:1" x14ac:dyDescent="0.2">
      <c r="A66">
        <v>64</v>
      </c>
    </row>
    <row r="67" spans="1:1" x14ac:dyDescent="0.2">
      <c r="A67">
        <v>65</v>
      </c>
    </row>
    <row r="68" spans="1:1" x14ac:dyDescent="0.2">
      <c r="A68">
        <v>66</v>
      </c>
    </row>
    <row r="69" spans="1:1" x14ac:dyDescent="0.2">
      <c r="A69">
        <v>67</v>
      </c>
    </row>
    <row r="70" spans="1:1" x14ac:dyDescent="0.2">
      <c r="A70">
        <v>68</v>
      </c>
    </row>
    <row r="71" spans="1:1" x14ac:dyDescent="0.2">
      <c r="A71">
        <v>69</v>
      </c>
    </row>
    <row r="72" spans="1:1" x14ac:dyDescent="0.2">
      <c r="A72">
        <v>70</v>
      </c>
    </row>
    <row r="73" spans="1:1" x14ac:dyDescent="0.2">
      <c r="A73">
        <v>71</v>
      </c>
    </row>
    <row r="74" spans="1:1" x14ac:dyDescent="0.2">
      <c r="A74">
        <v>72</v>
      </c>
    </row>
    <row r="75" spans="1:1" x14ac:dyDescent="0.2">
      <c r="A75">
        <v>73</v>
      </c>
    </row>
    <row r="76" spans="1:1" x14ac:dyDescent="0.2">
      <c r="A76">
        <v>74</v>
      </c>
    </row>
    <row r="77" spans="1:1" x14ac:dyDescent="0.2">
      <c r="A77">
        <v>75</v>
      </c>
    </row>
    <row r="78" spans="1:1" x14ac:dyDescent="0.2">
      <c r="A78">
        <v>76</v>
      </c>
    </row>
    <row r="79" spans="1:1" x14ac:dyDescent="0.2">
      <c r="A79">
        <v>77</v>
      </c>
    </row>
    <row r="80" spans="1:1" x14ac:dyDescent="0.2">
      <c r="A80">
        <v>78</v>
      </c>
    </row>
    <row r="81" spans="1:1" x14ac:dyDescent="0.2">
      <c r="A81">
        <v>79</v>
      </c>
    </row>
    <row r="82" spans="1:1" x14ac:dyDescent="0.2">
      <c r="A82">
        <v>80</v>
      </c>
    </row>
    <row r="83" spans="1:1" x14ac:dyDescent="0.2">
      <c r="A83">
        <v>81</v>
      </c>
    </row>
    <row r="84" spans="1:1" x14ac:dyDescent="0.2">
      <c r="A84">
        <v>82</v>
      </c>
    </row>
    <row r="85" spans="1:1" x14ac:dyDescent="0.2">
      <c r="A85">
        <v>83</v>
      </c>
    </row>
    <row r="86" spans="1:1" x14ac:dyDescent="0.2">
      <c r="A86">
        <v>84</v>
      </c>
    </row>
    <row r="87" spans="1:1" x14ac:dyDescent="0.2">
      <c r="A87">
        <v>85</v>
      </c>
    </row>
    <row r="88" spans="1:1" x14ac:dyDescent="0.2">
      <c r="A88">
        <v>86</v>
      </c>
    </row>
    <row r="89" spans="1:1" x14ac:dyDescent="0.2">
      <c r="A89">
        <v>87</v>
      </c>
    </row>
    <row r="90" spans="1:1" x14ac:dyDescent="0.2">
      <c r="A90">
        <v>88</v>
      </c>
    </row>
    <row r="91" spans="1:1" x14ac:dyDescent="0.2">
      <c r="A91">
        <v>89</v>
      </c>
    </row>
    <row r="92" spans="1:1" x14ac:dyDescent="0.2">
      <c r="A92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2" sqref="A2:A10"/>
    </sheetView>
  </sheetViews>
  <sheetFormatPr baseColWidth="10" defaultColWidth="9.1640625" defaultRowHeight="15" x14ac:dyDescent="0.2"/>
  <sheetData>
    <row r="1" spans="1:1" x14ac:dyDescent="0.2">
      <c r="A1" s="1" t="s">
        <v>22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43</v>
      </c>
    </row>
    <row r="6" spans="1:1" x14ac:dyDescent="0.2">
      <c r="A6" t="s">
        <v>44</v>
      </c>
    </row>
    <row r="7" spans="1:1" x14ac:dyDescent="0.2">
      <c r="A7" t="s">
        <v>45</v>
      </c>
    </row>
    <row r="8" spans="1:1" x14ac:dyDescent="0.2">
      <c r="A8" t="s">
        <v>46</v>
      </c>
    </row>
    <row r="9" spans="1:1" x14ac:dyDescent="0.2">
      <c r="A9" t="s">
        <v>47</v>
      </c>
    </row>
    <row r="10" spans="1:1" x14ac:dyDescent="0.2">
      <c r="A10" t="s">
        <v>48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baseColWidth="10" defaultColWidth="9.1640625" defaultRowHeight="15" x14ac:dyDescent="0.2"/>
  <sheetData>
    <row r="1" spans="1:1" x14ac:dyDescent="0.2">
      <c r="A1" s="1" t="s">
        <v>18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38</v>
      </c>
    </row>
    <row r="6" spans="1:1" x14ac:dyDescent="0.2">
      <c r="A6" t="s">
        <v>39</v>
      </c>
    </row>
    <row r="7" spans="1:1" x14ac:dyDescent="0.2">
      <c r="A7" t="s">
        <v>40</v>
      </c>
    </row>
    <row r="8" spans="1:1" x14ac:dyDescent="0.2">
      <c r="A8" t="s">
        <v>41</v>
      </c>
    </row>
    <row r="9" spans="1:1" x14ac:dyDescent="0.2">
      <c r="A9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E7" sqref="E7"/>
    </sheetView>
  </sheetViews>
  <sheetFormatPr baseColWidth="10" defaultColWidth="9.1640625" defaultRowHeight="15" x14ac:dyDescent="0.2"/>
  <sheetData>
    <row r="1" spans="1:1" x14ac:dyDescent="0.2">
      <c r="A1" s="1" t="s">
        <v>15</v>
      </c>
    </row>
    <row r="2" spans="1:1" x14ac:dyDescent="0.2">
      <c r="A2" t="s">
        <v>6</v>
      </c>
    </row>
    <row r="3" spans="1:1" x14ac:dyDescent="0.2">
      <c r="A3" t="s">
        <v>7</v>
      </c>
    </row>
    <row r="4" spans="1:1" x14ac:dyDescent="0.2">
      <c r="A4" t="s">
        <v>49</v>
      </c>
    </row>
    <row r="5" spans="1:1" x14ac:dyDescent="0.2">
      <c r="A5" t="s">
        <v>50</v>
      </c>
    </row>
    <row r="6" spans="1:1" x14ac:dyDescent="0.2">
      <c r="A6" t="s">
        <v>8</v>
      </c>
    </row>
    <row r="7" spans="1:1" x14ac:dyDescent="0.2">
      <c r="A7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1"/>
  <sheetViews>
    <sheetView tabSelected="1" zoomScale="200" zoomScaleNormal="150" workbookViewId="0">
      <selection activeCell="J18" sqref="J18"/>
    </sheetView>
  </sheetViews>
  <sheetFormatPr baseColWidth="10" defaultColWidth="9.1640625" defaultRowHeight="15" x14ac:dyDescent="0.2"/>
  <sheetData>
    <row r="1" spans="1:3" x14ac:dyDescent="0.2">
      <c r="A1" s="1" t="s">
        <v>18</v>
      </c>
      <c r="B1" s="1" t="s">
        <v>24</v>
      </c>
      <c r="C1" s="1" t="s">
        <v>25</v>
      </c>
    </row>
    <row r="2" spans="1:3" x14ac:dyDescent="0.2">
      <c r="A2" t="s">
        <v>3</v>
      </c>
      <c r="B2">
        <v>16</v>
      </c>
      <c r="C2">
        <v>9000</v>
      </c>
    </row>
    <row r="3" spans="1:3" x14ac:dyDescent="0.2">
      <c r="A3" t="s">
        <v>3</v>
      </c>
      <c r="B3">
        <v>60</v>
      </c>
      <c r="C3">
        <v>9000</v>
      </c>
    </row>
    <row r="4" spans="1:3" x14ac:dyDescent="0.2">
      <c r="A4" t="s">
        <v>3</v>
      </c>
      <c r="B4">
        <v>150</v>
      </c>
      <c r="C4">
        <v>9000</v>
      </c>
    </row>
    <row r="5" spans="1:3" x14ac:dyDescent="0.2">
      <c r="A5" t="s">
        <v>3</v>
      </c>
      <c r="B5">
        <v>210</v>
      </c>
      <c r="C5">
        <v>7200</v>
      </c>
    </row>
    <row r="6" spans="1:3" x14ac:dyDescent="0.2">
      <c r="A6" t="s">
        <v>3</v>
      </c>
      <c r="B6">
        <v>270</v>
      </c>
      <c r="C6">
        <v>7200</v>
      </c>
    </row>
    <row r="7" spans="1:3" x14ac:dyDescent="0.2">
      <c r="A7" t="s">
        <v>4</v>
      </c>
      <c r="B7">
        <v>14</v>
      </c>
      <c r="C7">
        <v>9000</v>
      </c>
    </row>
    <row r="8" spans="1:3" x14ac:dyDescent="0.2">
      <c r="A8" t="s">
        <v>4</v>
      </c>
      <c r="B8">
        <v>90</v>
      </c>
      <c r="C8">
        <v>9000</v>
      </c>
    </row>
    <row r="9" spans="1:3" x14ac:dyDescent="0.2">
      <c r="A9" t="s">
        <v>4</v>
      </c>
      <c r="B9">
        <v>180</v>
      </c>
      <c r="C9">
        <v>9000</v>
      </c>
    </row>
    <row r="10" spans="1:3" x14ac:dyDescent="0.2">
      <c r="A10" t="s">
        <v>4</v>
      </c>
      <c r="B10">
        <v>270</v>
      </c>
      <c r="C10">
        <v>9000</v>
      </c>
    </row>
    <row r="11" spans="1:3" x14ac:dyDescent="0.2">
      <c r="A11" t="s">
        <v>5</v>
      </c>
      <c r="B11">
        <v>15</v>
      </c>
      <c r="C11">
        <v>18000</v>
      </c>
    </row>
    <row r="12" spans="1:3" x14ac:dyDescent="0.2">
      <c r="A12" t="s">
        <v>5</v>
      </c>
      <c r="B12">
        <v>16</v>
      </c>
      <c r="C12">
        <v>9000</v>
      </c>
    </row>
    <row r="13" spans="1:3" x14ac:dyDescent="0.2">
      <c r="A13" t="s">
        <v>5</v>
      </c>
      <c r="B13">
        <v>30</v>
      </c>
      <c r="C13">
        <v>36000</v>
      </c>
    </row>
    <row r="14" spans="1:3" x14ac:dyDescent="0.2">
      <c r="A14" t="s">
        <v>5</v>
      </c>
      <c r="B14">
        <v>60</v>
      </c>
      <c r="C14">
        <v>36000</v>
      </c>
    </row>
    <row r="15" spans="1:3" x14ac:dyDescent="0.2">
      <c r="A15" t="s">
        <v>5</v>
      </c>
      <c r="B15">
        <v>90</v>
      </c>
      <c r="C15">
        <v>36000</v>
      </c>
    </row>
    <row r="16" spans="1:3" x14ac:dyDescent="0.2">
      <c r="A16" t="s">
        <v>5</v>
      </c>
      <c r="B16">
        <v>150</v>
      </c>
      <c r="C16">
        <v>36000</v>
      </c>
    </row>
    <row r="17" spans="1:3" x14ac:dyDescent="0.2">
      <c r="A17" t="s">
        <v>5</v>
      </c>
      <c r="B17">
        <v>180</v>
      </c>
      <c r="C17">
        <v>36000</v>
      </c>
    </row>
    <row r="18" spans="1:3" x14ac:dyDescent="0.2">
      <c r="A18" t="s">
        <v>5</v>
      </c>
      <c r="B18">
        <v>210</v>
      </c>
      <c r="C18">
        <v>36000</v>
      </c>
    </row>
    <row r="19" spans="1:3" x14ac:dyDescent="0.2">
      <c r="A19" t="s">
        <v>5</v>
      </c>
      <c r="B19">
        <v>240</v>
      </c>
      <c r="C19">
        <v>36000</v>
      </c>
    </row>
    <row r="20" spans="1:3" x14ac:dyDescent="0.2">
      <c r="A20" t="s">
        <v>5</v>
      </c>
      <c r="B20">
        <v>270</v>
      </c>
      <c r="C20">
        <v>27000</v>
      </c>
    </row>
    <row r="21" spans="1:3" x14ac:dyDescent="0.2">
      <c r="A21" t="s">
        <v>5</v>
      </c>
      <c r="B21">
        <v>300</v>
      </c>
      <c r="C21">
        <v>27000</v>
      </c>
    </row>
    <row r="22" spans="1:3" x14ac:dyDescent="0.2">
      <c r="A22" t="s">
        <v>5</v>
      </c>
      <c r="B22">
        <v>330</v>
      </c>
      <c r="C22">
        <v>27000</v>
      </c>
    </row>
    <row r="23" spans="1:3" x14ac:dyDescent="0.2">
      <c r="A23" t="s">
        <v>38</v>
      </c>
      <c r="B23">
        <v>1</v>
      </c>
      <c r="C23">
        <v>653</v>
      </c>
    </row>
    <row r="24" spans="1:3" x14ac:dyDescent="0.2">
      <c r="A24" t="s">
        <v>38</v>
      </c>
      <c r="B24">
        <v>2</v>
      </c>
      <c r="C24">
        <v>326</v>
      </c>
    </row>
    <row r="25" spans="1:3" x14ac:dyDescent="0.2">
      <c r="A25" t="s">
        <v>38</v>
      </c>
      <c r="B25">
        <v>150</v>
      </c>
      <c r="C25">
        <v>653</v>
      </c>
    </row>
    <row r="26" spans="1:3" x14ac:dyDescent="0.2">
      <c r="A26" t="s">
        <v>38</v>
      </c>
      <c r="B26">
        <v>210</v>
      </c>
      <c r="C26">
        <v>653</v>
      </c>
    </row>
    <row r="27" spans="1:3" x14ac:dyDescent="0.2">
      <c r="A27" t="s">
        <v>38</v>
      </c>
      <c r="B27">
        <v>300</v>
      </c>
      <c r="C27">
        <v>653</v>
      </c>
    </row>
    <row r="28" spans="1:3" x14ac:dyDescent="0.2">
      <c r="A28" t="s">
        <v>39</v>
      </c>
      <c r="B28">
        <v>1</v>
      </c>
      <c r="C28">
        <v>15750</v>
      </c>
    </row>
    <row r="29" spans="1:3" x14ac:dyDescent="0.2">
      <c r="A29" t="s">
        <v>39</v>
      </c>
      <c r="B29">
        <v>2</v>
      </c>
      <c r="C29">
        <v>15750</v>
      </c>
    </row>
    <row r="30" spans="1:3" x14ac:dyDescent="0.2">
      <c r="A30" t="s">
        <v>39</v>
      </c>
      <c r="B30">
        <v>8</v>
      </c>
      <c r="C30">
        <v>42000</v>
      </c>
    </row>
    <row r="31" spans="1:3" x14ac:dyDescent="0.2">
      <c r="A31" t="s">
        <v>39</v>
      </c>
      <c r="B31">
        <v>9</v>
      </c>
      <c r="C31">
        <v>42000</v>
      </c>
    </row>
    <row r="32" spans="1:3" x14ac:dyDescent="0.2">
      <c r="A32" t="s">
        <v>39</v>
      </c>
      <c r="B32">
        <v>10</v>
      </c>
      <c r="C32">
        <v>42000</v>
      </c>
    </row>
    <row r="33" spans="1:3" x14ac:dyDescent="0.2">
      <c r="A33" t="s">
        <v>39</v>
      </c>
      <c r="B33">
        <v>17</v>
      </c>
      <c r="C33">
        <v>15750</v>
      </c>
    </row>
    <row r="34" spans="1:3" x14ac:dyDescent="0.2">
      <c r="A34" t="s">
        <v>39</v>
      </c>
      <c r="B34">
        <v>30</v>
      </c>
      <c r="C34">
        <v>166950</v>
      </c>
    </row>
    <row r="35" spans="1:3" x14ac:dyDescent="0.2">
      <c r="A35" t="s">
        <v>39</v>
      </c>
      <c r="B35">
        <v>60</v>
      </c>
      <c r="C35">
        <v>160125</v>
      </c>
    </row>
    <row r="36" spans="1:3" x14ac:dyDescent="0.2">
      <c r="A36" t="s">
        <v>39</v>
      </c>
      <c r="B36">
        <v>90</v>
      </c>
      <c r="C36">
        <v>189000</v>
      </c>
    </row>
    <row r="37" spans="1:3" x14ac:dyDescent="0.2">
      <c r="A37" t="s">
        <v>39</v>
      </c>
      <c r="B37">
        <v>120</v>
      </c>
      <c r="C37">
        <v>15750</v>
      </c>
    </row>
    <row r="38" spans="1:3" x14ac:dyDescent="0.2">
      <c r="A38" t="s">
        <v>39</v>
      </c>
      <c r="B38">
        <v>150</v>
      </c>
      <c r="C38">
        <v>174825</v>
      </c>
    </row>
    <row r="39" spans="1:3" x14ac:dyDescent="0.2">
      <c r="A39" t="s">
        <v>39</v>
      </c>
      <c r="B39">
        <v>180</v>
      </c>
      <c r="C39">
        <v>181125</v>
      </c>
    </row>
    <row r="40" spans="1:3" x14ac:dyDescent="0.2">
      <c r="A40" t="s">
        <v>39</v>
      </c>
      <c r="B40">
        <v>210</v>
      </c>
      <c r="C40">
        <v>132825</v>
      </c>
    </row>
    <row r="41" spans="1:3" x14ac:dyDescent="0.2">
      <c r="A41" t="s">
        <v>39</v>
      </c>
      <c r="B41">
        <v>240</v>
      </c>
      <c r="C41">
        <v>124950</v>
      </c>
    </row>
    <row r="42" spans="1:3" x14ac:dyDescent="0.2">
      <c r="A42" t="s">
        <v>39</v>
      </c>
      <c r="B42">
        <v>270</v>
      </c>
      <c r="C42">
        <v>124950</v>
      </c>
    </row>
    <row r="43" spans="1:3" x14ac:dyDescent="0.2">
      <c r="A43" t="s">
        <v>39</v>
      </c>
      <c r="B43">
        <v>300</v>
      </c>
      <c r="C43">
        <v>132825</v>
      </c>
    </row>
    <row r="44" spans="1:3" x14ac:dyDescent="0.2">
      <c r="A44" t="s">
        <v>39</v>
      </c>
      <c r="B44">
        <v>330</v>
      </c>
      <c r="C44">
        <v>103950</v>
      </c>
    </row>
    <row r="45" spans="1:3" x14ac:dyDescent="0.2">
      <c r="A45" t="s">
        <v>40</v>
      </c>
      <c r="B45">
        <v>7</v>
      </c>
      <c r="C45">
        <v>239</v>
      </c>
    </row>
    <row r="46" spans="1:3" x14ac:dyDescent="0.2">
      <c r="A46" t="s">
        <v>40</v>
      </c>
      <c r="B46">
        <v>8</v>
      </c>
      <c r="C46">
        <v>798</v>
      </c>
    </row>
    <row r="47" spans="1:3" x14ac:dyDescent="0.2">
      <c r="A47" t="s">
        <v>40</v>
      </c>
      <c r="B47">
        <v>9</v>
      </c>
      <c r="C47">
        <v>798</v>
      </c>
    </row>
    <row r="48" spans="1:3" x14ac:dyDescent="0.2">
      <c r="A48" t="s">
        <v>40</v>
      </c>
      <c r="B48">
        <v>22</v>
      </c>
      <c r="C48">
        <v>14700</v>
      </c>
    </row>
    <row r="49" spans="1:3" x14ac:dyDescent="0.2">
      <c r="A49" t="s">
        <v>40</v>
      </c>
      <c r="B49">
        <v>30</v>
      </c>
      <c r="C49">
        <v>25620</v>
      </c>
    </row>
    <row r="50" spans="1:3" x14ac:dyDescent="0.2">
      <c r="A50" t="s">
        <v>40</v>
      </c>
      <c r="B50">
        <v>60</v>
      </c>
      <c r="C50">
        <v>17640</v>
      </c>
    </row>
    <row r="51" spans="1:3" x14ac:dyDescent="0.2">
      <c r="A51" t="s">
        <v>40</v>
      </c>
      <c r="B51">
        <v>90</v>
      </c>
      <c r="C51">
        <v>21420</v>
      </c>
    </row>
    <row r="52" spans="1:3" x14ac:dyDescent="0.2">
      <c r="A52" t="s">
        <v>40</v>
      </c>
      <c r="B52">
        <v>120</v>
      </c>
      <c r="C52">
        <v>4788</v>
      </c>
    </row>
    <row r="53" spans="1:3" x14ac:dyDescent="0.2">
      <c r="A53" t="s">
        <v>40</v>
      </c>
      <c r="B53">
        <v>150</v>
      </c>
      <c r="C53">
        <v>41160</v>
      </c>
    </row>
    <row r="54" spans="1:3" x14ac:dyDescent="0.2">
      <c r="A54" t="s">
        <v>40</v>
      </c>
      <c r="B54">
        <v>180</v>
      </c>
      <c r="C54">
        <v>43050</v>
      </c>
    </row>
    <row r="55" spans="1:3" x14ac:dyDescent="0.2">
      <c r="A55" t="s">
        <v>40</v>
      </c>
      <c r="B55">
        <v>210</v>
      </c>
      <c r="C55">
        <v>25410</v>
      </c>
    </row>
    <row r="56" spans="1:3" x14ac:dyDescent="0.2">
      <c r="A56" t="s">
        <v>40</v>
      </c>
      <c r="B56">
        <v>240</v>
      </c>
      <c r="C56">
        <v>20580</v>
      </c>
    </row>
    <row r="57" spans="1:3" x14ac:dyDescent="0.2">
      <c r="A57" t="s">
        <v>40</v>
      </c>
      <c r="B57">
        <v>270</v>
      </c>
      <c r="C57">
        <v>23520</v>
      </c>
    </row>
    <row r="58" spans="1:3" x14ac:dyDescent="0.2">
      <c r="A58" t="s">
        <v>40</v>
      </c>
      <c r="B58">
        <v>300</v>
      </c>
      <c r="C58">
        <v>20832</v>
      </c>
    </row>
    <row r="59" spans="1:3" x14ac:dyDescent="0.2">
      <c r="A59" t="s">
        <v>40</v>
      </c>
      <c r="B59">
        <v>330</v>
      </c>
      <c r="C59">
        <v>48145</v>
      </c>
    </row>
    <row r="60" spans="1:3" x14ac:dyDescent="0.2">
      <c r="A60" t="s">
        <v>41</v>
      </c>
      <c r="B60">
        <v>1</v>
      </c>
      <c r="C60">
        <v>21600</v>
      </c>
    </row>
    <row r="61" spans="1:3" x14ac:dyDescent="0.2">
      <c r="A61" t="s">
        <v>41</v>
      </c>
      <c r="B61">
        <v>60</v>
      </c>
      <c r="C61">
        <v>18000</v>
      </c>
    </row>
    <row r="62" spans="1:3" x14ac:dyDescent="0.2">
      <c r="A62" t="s">
        <v>41</v>
      </c>
      <c r="B62">
        <v>180</v>
      </c>
      <c r="C62">
        <v>18000</v>
      </c>
    </row>
    <row r="63" spans="1:3" x14ac:dyDescent="0.2">
      <c r="A63" t="s">
        <v>41</v>
      </c>
      <c r="B63">
        <v>270</v>
      </c>
      <c r="C63">
        <v>18000</v>
      </c>
    </row>
    <row r="64" spans="1:3" x14ac:dyDescent="0.2">
      <c r="A64" t="s">
        <v>41</v>
      </c>
      <c r="B64">
        <v>330</v>
      </c>
      <c r="C64">
        <v>18000</v>
      </c>
    </row>
    <row r="65" spans="1:3" x14ac:dyDescent="0.2">
      <c r="A65" t="s">
        <v>42</v>
      </c>
      <c r="B65">
        <v>1</v>
      </c>
      <c r="C65">
        <v>958</v>
      </c>
    </row>
    <row r="66" spans="1:3" x14ac:dyDescent="0.2">
      <c r="A66" t="s">
        <v>42</v>
      </c>
      <c r="B66">
        <v>2</v>
      </c>
      <c r="C66">
        <v>958</v>
      </c>
    </row>
    <row r="67" spans="1:3" x14ac:dyDescent="0.2">
      <c r="A67" t="s">
        <v>42</v>
      </c>
      <c r="B67">
        <v>3</v>
      </c>
      <c r="C67">
        <v>958</v>
      </c>
    </row>
    <row r="68" spans="1:3" x14ac:dyDescent="0.2">
      <c r="A68" t="s">
        <v>42</v>
      </c>
      <c r="B68">
        <v>4</v>
      </c>
      <c r="C68">
        <v>958</v>
      </c>
    </row>
    <row r="69" spans="1:3" x14ac:dyDescent="0.2">
      <c r="A69" t="s">
        <v>42</v>
      </c>
      <c r="B69">
        <v>7</v>
      </c>
      <c r="C69">
        <v>958</v>
      </c>
    </row>
    <row r="70" spans="1:3" x14ac:dyDescent="0.2">
      <c r="A70" t="s">
        <v>42</v>
      </c>
      <c r="B70">
        <v>18</v>
      </c>
      <c r="C70">
        <v>16800</v>
      </c>
    </row>
    <row r="71" spans="1:3" x14ac:dyDescent="0.2">
      <c r="A71" t="s">
        <v>42</v>
      </c>
      <c r="B71">
        <v>30</v>
      </c>
      <c r="C71">
        <v>33348</v>
      </c>
    </row>
    <row r="72" spans="1:3" x14ac:dyDescent="0.2">
      <c r="A72" t="s">
        <v>42</v>
      </c>
      <c r="B72">
        <v>60</v>
      </c>
      <c r="C72">
        <v>8820</v>
      </c>
    </row>
    <row r="73" spans="1:3" x14ac:dyDescent="0.2">
      <c r="A73" t="s">
        <v>42</v>
      </c>
      <c r="B73">
        <v>90</v>
      </c>
      <c r="C73">
        <v>29820</v>
      </c>
    </row>
    <row r="74" spans="1:3" x14ac:dyDescent="0.2">
      <c r="A74" t="s">
        <v>42</v>
      </c>
      <c r="B74">
        <v>120</v>
      </c>
      <c r="C74">
        <v>24780</v>
      </c>
    </row>
    <row r="75" spans="1:3" x14ac:dyDescent="0.2">
      <c r="A75" t="s">
        <v>42</v>
      </c>
      <c r="B75">
        <v>150</v>
      </c>
      <c r="C75">
        <v>29120</v>
      </c>
    </row>
    <row r="76" spans="1:3" x14ac:dyDescent="0.2">
      <c r="A76" t="s">
        <v>42</v>
      </c>
      <c r="B76">
        <v>180</v>
      </c>
      <c r="C76">
        <v>41580</v>
      </c>
    </row>
    <row r="77" spans="1:3" x14ac:dyDescent="0.2">
      <c r="A77" t="s">
        <v>42</v>
      </c>
      <c r="B77">
        <v>210</v>
      </c>
      <c r="C77">
        <v>33600</v>
      </c>
    </row>
    <row r="78" spans="1:3" x14ac:dyDescent="0.2">
      <c r="A78" t="s">
        <v>42</v>
      </c>
      <c r="B78">
        <v>240</v>
      </c>
      <c r="C78">
        <v>16800</v>
      </c>
    </row>
    <row r="79" spans="1:3" x14ac:dyDescent="0.2">
      <c r="A79" t="s">
        <v>42</v>
      </c>
      <c r="B79">
        <v>270</v>
      </c>
      <c r="C79">
        <v>37380</v>
      </c>
    </row>
    <row r="80" spans="1:3" x14ac:dyDescent="0.2">
      <c r="A80" t="s">
        <v>42</v>
      </c>
      <c r="B80">
        <v>300</v>
      </c>
      <c r="C80">
        <v>24780</v>
      </c>
    </row>
    <row r="81" spans="1:3" x14ac:dyDescent="0.2">
      <c r="A81" t="s">
        <v>42</v>
      </c>
      <c r="B81">
        <v>330</v>
      </c>
      <c r="C81">
        <v>27241</v>
      </c>
    </row>
    <row r="82" spans="1:3" x14ac:dyDescent="0.2">
      <c r="A82" t="s">
        <v>3</v>
      </c>
      <c r="B82">
        <f>+B2+365</f>
        <v>381</v>
      </c>
      <c r="C82">
        <v>9000</v>
      </c>
    </row>
    <row r="83" spans="1:3" x14ac:dyDescent="0.2">
      <c r="A83" t="s">
        <v>3</v>
      </c>
      <c r="B83">
        <f t="shared" ref="B83:B146" si="0">+B3+365</f>
        <v>425</v>
      </c>
      <c r="C83">
        <v>9000</v>
      </c>
    </row>
    <row r="84" spans="1:3" x14ac:dyDescent="0.2">
      <c r="A84" t="s">
        <v>3</v>
      </c>
      <c r="B84">
        <f t="shared" si="0"/>
        <v>515</v>
      </c>
      <c r="C84">
        <v>9000</v>
      </c>
    </row>
    <row r="85" spans="1:3" x14ac:dyDescent="0.2">
      <c r="A85" t="s">
        <v>3</v>
      </c>
      <c r="B85">
        <f t="shared" si="0"/>
        <v>575</v>
      </c>
      <c r="C85">
        <v>7200</v>
      </c>
    </row>
    <row r="86" spans="1:3" x14ac:dyDescent="0.2">
      <c r="A86" t="s">
        <v>3</v>
      </c>
      <c r="B86">
        <f t="shared" si="0"/>
        <v>635</v>
      </c>
      <c r="C86">
        <v>7200</v>
      </c>
    </row>
    <row r="87" spans="1:3" x14ac:dyDescent="0.2">
      <c r="A87" t="s">
        <v>4</v>
      </c>
      <c r="B87">
        <f t="shared" si="0"/>
        <v>379</v>
      </c>
      <c r="C87">
        <v>9000</v>
      </c>
    </row>
    <row r="88" spans="1:3" x14ac:dyDescent="0.2">
      <c r="A88" t="s">
        <v>4</v>
      </c>
      <c r="B88">
        <f t="shared" si="0"/>
        <v>455</v>
      </c>
      <c r="C88">
        <v>9000</v>
      </c>
    </row>
    <row r="89" spans="1:3" x14ac:dyDescent="0.2">
      <c r="A89" t="s">
        <v>4</v>
      </c>
      <c r="B89">
        <f t="shared" si="0"/>
        <v>545</v>
      </c>
      <c r="C89">
        <v>9000</v>
      </c>
    </row>
    <row r="90" spans="1:3" x14ac:dyDescent="0.2">
      <c r="A90" t="s">
        <v>4</v>
      </c>
      <c r="B90">
        <f t="shared" si="0"/>
        <v>635</v>
      </c>
      <c r="C90">
        <v>9000</v>
      </c>
    </row>
    <row r="91" spans="1:3" x14ac:dyDescent="0.2">
      <c r="A91" t="s">
        <v>5</v>
      </c>
      <c r="B91">
        <f t="shared" si="0"/>
        <v>380</v>
      </c>
      <c r="C91">
        <v>18000</v>
      </c>
    </row>
    <row r="92" spans="1:3" x14ac:dyDescent="0.2">
      <c r="A92" t="s">
        <v>5</v>
      </c>
      <c r="B92">
        <f t="shared" si="0"/>
        <v>381</v>
      </c>
      <c r="C92">
        <v>9000</v>
      </c>
    </row>
    <row r="93" spans="1:3" x14ac:dyDescent="0.2">
      <c r="A93" t="s">
        <v>5</v>
      </c>
      <c r="B93">
        <f t="shared" si="0"/>
        <v>395</v>
      </c>
      <c r="C93">
        <v>36000</v>
      </c>
    </row>
    <row r="94" spans="1:3" x14ac:dyDescent="0.2">
      <c r="A94" t="s">
        <v>5</v>
      </c>
      <c r="B94">
        <f t="shared" si="0"/>
        <v>425</v>
      </c>
      <c r="C94">
        <v>36000</v>
      </c>
    </row>
    <row r="95" spans="1:3" x14ac:dyDescent="0.2">
      <c r="A95" t="s">
        <v>5</v>
      </c>
      <c r="B95">
        <f t="shared" si="0"/>
        <v>455</v>
      </c>
      <c r="C95">
        <v>36000</v>
      </c>
    </row>
    <row r="96" spans="1:3" x14ac:dyDescent="0.2">
      <c r="A96" t="s">
        <v>5</v>
      </c>
      <c r="B96">
        <f t="shared" si="0"/>
        <v>515</v>
      </c>
      <c r="C96">
        <v>36000</v>
      </c>
    </row>
    <row r="97" spans="1:3" x14ac:dyDescent="0.2">
      <c r="A97" t="s">
        <v>5</v>
      </c>
      <c r="B97">
        <f t="shared" si="0"/>
        <v>545</v>
      </c>
      <c r="C97">
        <v>36000</v>
      </c>
    </row>
    <row r="98" spans="1:3" x14ac:dyDescent="0.2">
      <c r="A98" t="s">
        <v>5</v>
      </c>
      <c r="B98">
        <f t="shared" si="0"/>
        <v>575</v>
      </c>
      <c r="C98">
        <v>36000</v>
      </c>
    </row>
    <row r="99" spans="1:3" x14ac:dyDescent="0.2">
      <c r="A99" t="s">
        <v>5</v>
      </c>
      <c r="B99">
        <f t="shared" si="0"/>
        <v>605</v>
      </c>
      <c r="C99">
        <v>36000</v>
      </c>
    </row>
    <row r="100" spans="1:3" x14ac:dyDescent="0.2">
      <c r="A100" t="s">
        <v>5</v>
      </c>
      <c r="B100">
        <f t="shared" si="0"/>
        <v>635</v>
      </c>
      <c r="C100">
        <v>27000</v>
      </c>
    </row>
    <row r="101" spans="1:3" x14ac:dyDescent="0.2">
      <c r="A101" t="s">
        <v>5</v>
      </c>
      <c r="B101">
        <f t="shared" si="0"/>
        <v>665</v>
      </c>
      <c r="C101">
        <v>27000</v>
      </c>
    </row>
    <row r="102" spans="1:3" x14ac:dyDescent="0.2">
      <c r="A102" t="s">
        <v>5</v>
      </c>
      <c r="B102">
        <f t="shared" si="0"/>
        <v>695</v>
      </c>
      <c r="C102">
        <v>27000</v>
      </c>
    </row>
    <row r="103" spans="1:3" x14ac:dyDescent="0.2">
      <c r="A103" t="s">
        <v>38</v>
      </c>
      <c r="B103">
        <f t="shared" si="0"/>
        <v>366</v>
      </c>
      <c r="C103">
        <v>653</v>
      </c>
    </row>
    <row r="104" spans="1:3" x14ac:dyDescent="0.2">
      <c r="A104" t="s">
        <v>38</v>
      </c>
      <c r="B104">
        <f t="shared" si="0"/>
        <v>367</v>
      </c>
      <c r="C104">
        <v>326</v>
      </c>
    </row>
    <row r="105" spans="1:3" x14ac:dyDescent="0.2">
      <c r="A105" t="s">
        <v>38</v>
      </c>
      <c r="B105">
        <f t="shared" si="0"/>
        <v>515</v>
      </c>
      <c r="C105">
        <v>653</v>
      </c>
    </row>
    <row r="106" spans="1:3" x14ac:dyDescent="0.2">
      <c r="A106" t="s">
        <v>38</v>
      </c>
      <c r="B106">
        <f t="shared" si="0"/>
        <v>575</v>
      </c>
      <c r="C106">
        <v>653</v>
      </c>
    </row>
    <row r="107" spans="1:3" x14ac:dyDescent="0.2">
      <c r="A107" t="s">
        <v>38</v>
      </c>
      <c r="B107">
        <f t="shared" si="0"/>
        <v>665</v>
      </c>
      <c r="C107">
        <v>653</v>
      </c>
    </row>
    <row r="108" spans="1:3" x14ac:dyDescent="0.2">
      <c r="A108" t="s">
        <v>39</v>
      </c>
      <c r="B108">
        <f t="shared" si="0"/>
        <v>366</v>
      </c>
      <c r="C108">
        <v>15750</v>
      </c>
    </row>
    <row r="109" spans="1:3" x14ac:dyDescent="0.2">
      <c r="A109" t="s">
        <v>39</v>
      </c>
      <c r="B109">
        <f t="shared" si="0"/>
        <v>367</v>
      </c>
      <c r="C109">
        <v>15750</v>
      </c>
    </row>
    <row r="110" spans="1:3" x14ac:dyDescent="0.2">
      <c r="A110" t="s">
        <v>39</v>
      </c>
      <c r="B110">
        <f t="shared" si="0"/>
        <v>373</v>
      </c>
      <c r="C110">
        <v>42000</v>
      </c>
    </row>
    <row r="111" spans="1:3" x14ac:dyDescent="0.2">
      <c r="A111" t="s">
        <v>39</v>
      </c>
      <c r="B111">
        <f t="shared" si="0"/>
        <v>374</v>
      </c>
      <c r="C111">
        <v>42000</v>
      </c>
    </row>
    <row r="112" spans="1:3" x14ac:dyDescent="0.2">
      <c r="A112" t="s">
        <v>39</v>
      </c>
      <c r="B112">
        <f t="shared" si="0"/>
        <v>375</v>
      </c>
      <c r="C112">
        <v>42000</v>
      </c>
    </row>
    <row r="113" spans="1:3" x14ac:dyDescent="0.2">
      <c r="A113" t="s">
        <v>39</v>
      </c>
      <c r="B113">
        <f t="shared" si="0"/>
        <v>382</v>
      </c>
      <c r="C113">
        <v>15750</v>
      </c>
    </row>
    <row r="114" spans="1:3" x14ac:dyDescent="0.2">
      <c r="A114" t="s">
        <v>39</v>
      </c>
      <c r="B114">
        <f t="shared" si="0"/>
        <v>395</v>
      </c>
      <c r="C114">
        <v>166950</v>
      </c>
    </row>
    <row r="115" spans="1:3" x14ac:dyDescent="0.2">
      <c r="A115" t="s">
        <v>39</v>
      </c>
      <c r="B115">
        <f t="shared" si="0"/>
        <v>425</v>
      </c>
      <c r="C115">
        <v>160125</v>
      </c>
    </row>
    <row r="116" spans="1:3" x14ac:dyDescent="0.2">
      <c r="A116" t="s">
        <v>39</v>
      </c>
      <c r="B116">
        <f t="shared" si="0"/>
        <v>455</v>
      </c>
      <c r="C116">
        <v>189000</v>
      </c>
    </row>
    <row r="117" spans="1:3" x14ac:dyDescent="0.2">
      <c r="A117" t="s">
        <v>39</v>
      </c>
      <c r="B117">
        <f t="shared" si="0"/>
        <v>485</v>
      </c>
      <c r="C117">
        <v>15750</v>
      </c>
    </row>
    <row r="118" spans="1:3" x14ac:dyDescent="0.2">
      <c r="A118" t="s">
        <v>39</v>
      </c>
      <c r="B118">
        <f t="shared" si="0"/>
        <v>515</v>
      </c>
      <c r="C118">
        <v>174825</v>
      </c>
    </row>
    <row r="119" spans="1:3" x14ac:dyDescent="0.2">
      <c r="A119" t="s">
        <v>39</v>
      </c>
      <c r="B119">
        <f t="shared" si="0"/>
        <v>545</v>
      </c>
      <c r="C119">
        <v>181125</v>
      </c>
    </row>
    <row r="120" spans="1:3" x14ac:dyDescent="0.2">
      <c r="A120" t="s">
        <v>39</v>
      </c>
      <c r="B120">
        <f t="shared" si="0"/>
        <v>575</v>
      </c>
      <c r="C120">
        <v>132825</v>
      </c>
    </row>
    <row r="121" spans="1:3" x14ac:dyDescent="0.2">
      <c r="A121" t="s">
        <v>39</v>
      </c>
      <c r="B121">
        <f t="shared" si="0"/>
        <v>605</v>
      </c>
      <c r="C121">
        <v>124950</v>
      </c>
    </row>
    <row r="122" spans="1:3" x14ac:dyDescent="0.2">
      <c r="A122" t="s">
        <v>39</v>
      </c>
      <c r="B122">
        <f t="shared" si="0"/>
        <v>635</v>
      </c>
      <c r="C122">
        <v>124950</v>
      </c>
    </row>
    <row r="123" spans="1:3" x14ac:dyDescent="0.2">
      <c r="A123" t="s">
        <v>39</v>
      </c>
      <c r="B123">
        <f t="shared" si="0"/>
        <v>665</v>
      </c>
      <c r="C123">
        <v>132825</v>
      </c>
    </row>
    <row r="124" spans="1:3" x14ac:dyDescent="0.2">
      <c r="A124" t="s">
        <v>39</v>
      </c>
      <c r="B124">
        <f t="shared" si="0"/>
        <v>695</v>
      </c>
      <c r="C124">
        <v>103950</v>
      </c>
    </row>
    <row r="125" spans="1:3" x14ac:dyDescent="0.2">
      <c r="A125" t="s">
        <v>40</v>
      </c>
      <c r="B125">
        <f t="shared" si="0"/>
        <v>372</v>
      </c>
      <c r="C125">
        <v>239</v>
      </c>
    </row>
    <row r="126" spans="1:3" x14ac:dyDescent="0.2">
      <c r="A126" t="s">
        <v>40</v>
      </c>
      <c r="B126">
        <f t="shared" si="0"/>
        <v>373</v>
      </c>
      <c r="C126">
        <v>798</v>
      </c>
    </row>
    <row r="127" spans="1:3" x14ac:dyDescent="0.2">
      <c r="A127" t="s">
        <v>40</v>
      </c>
      <c r="B127">
        <f t="shared" si="0"/>
        <v>374</v>
      </c>
      <c r="C127">
        <v>798</v>
      </c>
    </row>
    <row r="128" spans="1:3" x14ac:dyDescent="0.2">
      <c r="A128" t="s">
        <v>40</v>
      </c>
      <c r="B128">
        <f t="shared" si="0"/>
        <v>387</v>
      </c>
      <c r="C128">
        <v>14700</v>
      </c>
    </row>
    <row r="129" spans="1:3" x14ac:dyDescent="0.2">
      <c r="A129" t="s">
        <v>40</v>
      </c>
      <c r="B129">
        <f t="shared" si="0"/>
        <v>395</v>
      </c>
      <c r="C129">
        <v>25620</v>
      </c>
    </row>
    <row r="130" spans="1:3" x14ac:dyDescent="0.2">
      <c r="A130" t="s">
        <v>40</v>
      </c>
      <c r="B130">
        <f t="shared" si="0"/>
        <v>425</v>
      </c>
      <c r="C130">
        <v>17640</v>
      </c>
    </row>
    <row r="131" spans="1:3" x14ac:dyDescent="0.2">
      <c r="A131" t="s">
        <v>40</v>
      </c>
      <c r="B131">
        <f t="shared" si="0"/>
        <v>455</v>
      </c>
      <c r="C131">
        <v>21420</v>
      </c>
    </row>
    <row r="132" spans="1:3" x14ac:dyDescent="0.2">
      <c r="A132" t="s">
        <v>40</v>
      </c>
      <c r="B132">
        <f t="shared" si="0"/>
        <v>485</v>
      </c>
      <c r="C132">
        <v>4788</v>
      </c>
    </row>
    <row r="133" spans="1:3" x14ac:dyDescent="0.2">
      <c r="A133" t="s">
        <v>40</v>
      </c>
      <c r="B133">
        <f t="shared" si="0"/>
        <v>515</v>
      </c>
      <c r="C133">
        <v>41160</v>
      </c>
    </row>
    <row r="134" spans="1:3" x14ac:dyDescent="0.2">
      <c r="A134" t="s">
        <v>40</v>
      </c>
      <c r="B134">
        <f t="shared" si="0"/>
        <v>545</v>
      </c>
      <c r="C134">
        <v>43050</v>
      </c>
    </row>
    <row r="135" spans="1:3" x14ac:dyDescent="0.2">
      <c r="A135" t="s">
        <v>40</v>
      </c>
      <c r="B135">
        <f t="shared" si="0"/>
        <v>575</v>
      </c>
      <c r="C135">
        <v>25410</v>
      </c>
    </row>
    <row r="136" spans="1:3" x14ac:dyDescent="0.2">
      <c r="A136" t="s">
        <v>40</v>
      </c>
      <c r="B136">
        <f t="shared" si="0"/>
        <v>605</v>
      </c>
      <c r="C136">
        <v>20580</v>
      </c>
    </row>
    <row r="137" spans="1:3" x14ac:dyDescent="0.2">
      <c r="A137" t="s">
        <v>40</v>
      </c>
      <c r="B137">
        <f t="shared" si="0"/>
        <v>635</v>
      </c>
      <c r="C137">
        <v>23520</v>
      </c>
    </row>
    <row r="138" spans="1:3" x14ac:dyDescent="0.2">
      <c r="A138" t="s">
        <v>40</v>
      </c>
      <c r="B138">
        <f t="shared" si="0"/>
        <v>665</v>
      </c>
      <c r="C138">
        <v>20832</v>
      </c>
    </row>
    <row r="139" spans="1:3" x14ac:dyDescent="0.2">
      <c r="A139" t="s">
        <v>40</v>
      </c>
      <c r="B139">
        <f t="shared" si="0"/>
        <v>695</v>
      </c>
      <c r="C139">
        <v>48145</v>
      </c>
    </row>
    <row r="140" spans="1:3" x14ac:dyDescent="0.2">
      <c r="A140" t="s">
        <v>41</v>
      </c>
      <c r="B140">
        <f t="shared" si="0"/>
        <v>366</v>
      </c>
      <c r="C140">
        <v>21600</v>
      </c>
    </row>
    <row r="141" spans="1:3" x14ac:dyDescent="0.2">
      <c r="A141" t="s">
        <v>41</v>
      </c>
      <c r="B141">
        <f t="shared" si="0"/>
        <v>425</v>
      </c>
      <c r="C141">
        <v>18000</v>
      </c>
    </row>
    <row r="142" spans="1:3" x14ac:dyDescent="0.2">
      <c r="A142" t="s">
        <v>41</v>
      </c>
      <c r="B142">
        <f t="shared" si="0"/>
        <v>545</v>
      </c>
      <c r="C142">
        <v>18000</v>
      </c>
    </row>
    <row r="143" spans="1:3" x14ac:dyDescent="0.2">
      <c r="A143" t="s">
        <v>41</v>
      </c>
      <c r="B143">
        <f t="shared" si="0"/>
        <v>635</v>
      </c>
      <c r="C143">
        <v>18000</v>
      </c>
    </row>
    <row r="144" spans="1:3" x14ac:dyDescent="0.2">
      <c r="A144" t="s">
        <v>41</v>
      </c>
      <c r="B144">
        <f t="shared" si="0"/>
        <v>695</v>
      </c>
      <c r="C144">
        <v>18000</v>
      </c>
    </row>
    <row r="145" spans="1:3" x14ac:dyDescent="0.2">
      <c r="A145" t="s">
        <v>42</v>
      </c>
      <c r="B145">
        <f t="shared" si="0"/>
        <v>366</v>
      </c>
      <c r="C145">
        <v>958</v>
      </c>
    </row>
    <row r="146" spans="1:3" x14ac:dyDescent="0.2">
      <c r="A146" t="s">
        <v>42</v>
      </c>
      <c r="B146">
        <f t="shared" si="0"/>
        <v>367</v>
      </c>
      <c r="C146">
        <v>958</v>
      </c>
    </row>
    <row r="147" spans="1:3" x14ac:dyDescent="0.2">
      <c r="A147" t="s">
        <v>42</v>
      </c>
      <c r="B147">
        <f t="shared" ref="B147:B161" si="1">+B67+365</f>
        <v>368</v>
      </c>
      <c r="C147">
        <v>958</v>
      </c>
    </row>
    <row r="148" spans="1:3" x14ac:dyDescent="0.2">
      <c r="A148" t="s">
        <v>42</v>
      </c>
      <c r="B148">
        <f t="shared" si="1"/>
        <v>369</v>
      </c>
      <c r="C148">
        <v>958</v>
      </c>
    </row>
    <row r="149" spans="1:3" x14ac:dyDescent="0.2">
      <c r="A149" t="s">
        <v>42</v>
      </c>
      <c r="B149">
        <f t="shared" si="1"/>
        <v>372</v>
      </c>
      <c r="C149">
        <v>958</v>
      </c>
    </row>
    <row r="150" spans="1:3" x14ac:dyDescent="0.2">
      <c r="A150" t="s">
        <v>42</v>
      </c>
      <c r="B150">
        <f t="shared" si="1"/>
        <v>383</v>
      </c>
      <c r="C150">
        <v>16800</v>
      </c>
    </row>
    <row r="151" spans="1:3" x14ac:dyDescent="0.2">
      <c r="A151" t="s">
        <v>42</v>
      </c>
      <c r="B151">
        <f t="shared" si="1"/>
        <v>395</v>
      </c>
      <c r="C151">
        <v>33348</v>
      </c>
    </row>
    <row r="152" spans="1:3" x14ac:dyDescent="0.2">
      <c r="A152" t="s">
        <v>42</v>
      </c>
      <c r="B152">
        <f t="shared" si="1"/>
        <v>425</v>
      </c>
      <c r="C152">
        <v>8820</v>
      </c>
    </row>
    <row r="153" spans="1:3" x14ac:dyDescent="0.2">
      <c r="A153" t="s">
        <v>42</v>
      </c>
      <c r="B153">
        <f t="shared" si="1"/>
        <v>455</v>
      </c>
      <c r="C153">
        <v>29820</v>
      </c>
    </row>
    <row r="154" spans="1:3" x14ac:dyDescent="0.2">
      <c r="A154" t="s">
        <v>42</v>
      </c>
      <c r="B154">
        <f t="shared" si="1"/>
        <v>485</v>
      </c>
      <c r="C154">
        <v>24780</v>
      </c>
    </row>
    <row r="155" spans="1:3" x14ac:dyDescent="0.2">
      <c r="A155" t="s">
        <v>42</v>
      </c>
      <c r="B155">
        <f t="shared" si="1"/>
        <v>515</v>
      </c>
      <c r="C155">
        <v>29120</v>
      </c>
    </row>
    <row r="156" spans="1:3" x14ac:dyDescent="0.2">
      <c r="A156" t="s">
        <v>42</v>
      </c>
      <c r="B156">
        <f t="shared" si="1"/>
        <v>545</v>
      </c>
      <c r="C156">
        <v>41580</v>
      </c>
    </row>
    <row r="157" spans="1:3" x14ac:dyDescent="0.2">
      <c r="A157" t="s">
        <v>42</v>
      </c>
      <c r="B157">
        <f t="shared" si="1"/>
        <v>575</v>
      </c>
      <c r="C157">
        <v>33600</v>
      </c>
    </row>
    <row r="158" spans="1:3" x14ac:dyDescent="0.2">
      <c r="A158" t="s">
        <v>42</v>
      </c>
      <c r="B158">
        <f t="shared" si="1"/>
        <v>605</v>
      </c>
      <c r="C158">
        <v>16800</v>
      </c>
    </row>
    <row r="159" spans="1:3" x14ac:dyDescent="0.2">
      <c r="A159" t="s">
        <v>42</v>
      </c>
      <c r="B159">
        <f t="shared" si="1"/>
        <v>635</v>
      </c>
      <c r="C159">
        <v>37380</v>
      </c>
    </row>
    <row r="160" spans="1:3" x14ac:dyDescent="0.2">
      <c r="A160" t="s">
        <v>42</v>
      </c>
      <c r="B160">
        <f t="shared" si="1"/>
        <v>665</v>
      </c>
      <c r="C160">
        <v>24780</v>
      </c>
    </row>
    <row r="161" spans="1:3" x14ac:dyDescent="0.2">
      <c r="A161" t="s">
        <v>42</v>
      </c>
      <c r="B161">
        <f t="shared" si="1"/>
        <v>695</v>
      </c>
      <c r="C161">
        <v>27241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"/>
  <sheetViews>
    <sheetView workbookViewId="0">
      <selection activeCell="C25" sqref="C25"/>
    </sheetView>
  </sheetViews>
  <sheetFormatPr baseColWidth="10" defaultColWidth="9.1640625" defaultRowHeight="15" x14ac:dyDescent="0.2"/>
  <sheetData>
    <row r="1" spans="1:3" x14ac:dyDescent="0.2">
      <c r="A1" s="1" t="s">
        <v>18</v>
      </c>
      <c r="B1" s="1" t="s">
        <v>22</v>
      </c>
      <c r="C1" s="1" t="s">
        <v>23</v>
      </c>
    </row>
    <row r="2" spans="1:3" x14ac:dyDescent="0.2">
      <c r="A2" t="s">
        <v>3</v>
      </c>
      <c r="B2" t="s">
        <v>0</v>
      </c>
      <c r="C2">
        <v>0.25</v>
      </c>
    </row>
    <row r="3" spans="1:3" x14ac:dyDescent="0.2">
      <c r="A3" t="s">
        <v>3</v>
      </c>
      <c r="B3" t="s">
        <v>1</v>
      </c>
      <c r="C3">
        <v>0.25</v>
      </c>
    </row>
    <row r="4" spans="1:3" x14ac:dyDescent="0.2">
      <c r="A4" t="s">
        <v>3</v>
      </c>
      <c r="B4" t="s">
        <v>2</v>
      </c>
      <c r="C4">
        <v>0.4</v>
      </c>
    </row>
    <row r="5" spans="1:3" x14ac:dyDescent="0.2">
      <c r="A5" t="s">
        <v>3</v>
      </c>
      <c r="B5" t="s">
        <v>43</v>
      </c>
      <c r="C5">
        <v>0.1</v>
      </c>
    </row>
    <row r="6" spans="1:3" x14ac:dyDescent="0.2">
      <c r="A6" t="s">
        <v>4</v>
      </c>
      <c r="B6" t="s">
        <v>44</v>
      </c>
      <c r="C6">
        <v>1</v>
      </c>
    </row>
    <row r="7" spans="1:3" x14ac:dyDescent="0.2">
      <c r="A7" t="s">
        <v>5</v>
      </c>
      <c r="B7" t="s">
        <v>2</v>
      </c>
      <c r="C7">
        <v>0.56000000000000005</v>
      </c>
    </row>
    <row r="8" spans="1:3" x14ac:dyDescent="0.2">
      <c r="A8" t="s">
        <v>5</v>
      </c>
      <c r="B8" t="s">
        <v>44</v>
      </c>
      <c r="C8">
        <v>0.2</v>
      </c>
    </row>
    <row r="9" spans="1:3" x14ac:dyDescent="0.2">
      <c r="A9" t="s">
        <v>5</v>
      </c>
      <c r="B9" t="s">
        <v>45</v>
      </c>
      <c r="C9">
        <v>0.05</v>
      </c>
    </row>
    <row r="10" spans="1:3" x14ac:dyDescent="0.2">
      <c r="A10" t="s">
        <v>5</v>
      </c>
      <c r="B10" t="s">
        <v>48</v>
      </c>
      <c r="C10">
        <v>0.19</v>
      </c>
    </row>
    <row r="11" spans="1:3" x14ac:dyDescent="0.2">
      <c r="A11" t="s">
        <v>38</v>
      </c>
      <c r="B11" t="s">
        <v>2</v>
      </c>
      <c r="C11">
        <v>0.15</v>
      </c>
    </row>
    <row r="12" spans="1:3" x14ac:dyDescent="0.2">
      <c r="A12" t="s">
        <v>38</v>
      </c>
      <c r="B12" t="s">
        <v>43</v>
      </c>
      <c r="C12">
        <v>0.15</v>
      </c>
    </row>
    <row r="13" spans="1:3" x14ac:dyDescent="0.2">
      <c r="A13" t="s">
        <v>38</v>
      </c>
      <c r="B13" t="s">
        <v>44</v>
      </c>
      <c r="C13">
        <v>0.7</v>
      </c>
    </row>
    <row r="14" spans="1:3" x14ac:dyDescent="0.2">
      <c r="A14" t="s">
        <v>39</v>
      </c>
      <c r="B14" t="s">
        <v>2</v>
      </c>
      <c r="C14">
        <v>0.15</v>
      </c>
    </row>
    <row r="15" spans="1:3" x14ac:dyDescent="0.2">
      <c r="A15" t="s">
        <v>39</v>
      </c>
      <c r="B15" t="s">
        <v>43</v>
      </c>
      <c r="C15">
        <v>0.15</v>
      </c>
    </row>
    <row r="16" spans="1:3" x14ac:dyDescent="0.2">
      <c r="A16" t="s">
        <v>39</v>
      </c>
      <c r="B16" t="s">
        <v>44</v>
      </c>
      <c r="C16">
        <v>0.7</v>
      </c>
    </row>
    <row r="17" spans="1:3" x14ac:dyDescent="0.2">
      <c r="A17" t="s">
        <v>40</v>
      </c>
      <c r="B17" t="s">
        <v>2</v>
      </c>
      <c r="C17">
        <v>0.25</v>
      </c>
    </row>
    <row r="18" spans="1:3" x14ac:dyDescent="0.2">
      <c r="A18" t="s">
        <v>40</v>
      </c>
      <c r="B18" t="s">
        <v>43</v>
      </c>
      <c r="C18">
        <v>0.65</v>
      </c>
    </row>
    <row r="19" spans="1:3" x14ac:dyDescent="0.2">
      <c r="A19" t="s">
        <v>40</v>
      </c>
      <c r="B19" t="s">
        <v>44</v>
      </c>
      <c r="C19">
        <v>0.1</v>
      </c>
    </row>
    <row r="20" spans="1:3" x14ac:dyDescent="0.2">
      <c r="A20" t="s">
        <v>41</v>
      </c>
      <c r="B20" t="s">
        <v>2</v>
      </c>
      <c r="C20">
        <v>0.25</v>
      </c>
    </row>
    <row r="21" spans="1:3" x14ac:dyDescent="0.2">
      <c r="A21" t="s">
        <v>41</v>
      </c>
      <c r="B21" t="s">
        <v>43</v>
      </c>
      <c r="C21">
        <v>0.65</v>
      </c>
    </row>
    <row r="22" spans="1:3" x14ac:dyDescent="0.2">
      <c r="A22" t="s">
        <v>41</v>
      </c>
      <c r="B22" t="s">
        <v>44</v>
      </c>
      <c r="C22">
        <v>0.1</v>
      </c>
    </row>
    <row r="23" spans="1:3" x14ac:dyDescent="0.2">
      <c r="A23" t="s">
        <v>42</v>
      </c>
      <c r="B23" t="s">
        <v>2</v>
      </c>
      <c r="C23">
        <v>0.65</v>
      </c>
    </row>
    <row r="24" spans="1:3" x14ac:dyDescent="0.2">
      <c r="A24" t="s">
        <v>42</v>
      </c>
      <c r="B24" t="s">
        <v>43</v>
      </c>
      <c r="C24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"/>
  <sheetViews>
    <sheetView workbookViewId="0">
      <selection activeCell="H9" sqref="H9"/>
    </sheetView>
  </sheetViews>
  <sheetFormatPr baseColWidth="10" defaultColWidth="9.1640625" defaultRowHeight="15" x14ac:dyDescent="0.2"/>
  <cols>
    <col min="2" max="2" width="11.83203125" bestFit="1" customWidth="1"/>
  </cols>
  <sheetData>
    <row r="1" spans="1:5" x14ac:dyDescent="0.2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</row>
    <row r="2" spans="1:5" x14ac:dyDescent="0.2">
      <c r="A2" t="s">
        <v>3</v>
      </c>
      <c r="B2" t="s">
        <v>7</v>
      </c>
      <c r="C2">
        <v>1</v>
      </c>
      <c r="D2">
        <v>20</v>
      </c>
      <c r="E2">
        <v>1</v>
      </c>
    </row>
    <row r="3" spans="1:5" x14ac:dyDescent="0.2">
      <c r="A3" t="s">
        <v>3</v>
      </c>
      <c r="B3" t="s">
        <v>8</v>
      </c>
      <c r="C3">
        <v>1</v>
      </c>
      <c r="D3">
        <v>28</v>
      </c>
      <c r="E3">
        <v>1</v>
      </c>
    </row>
    <row r="4" spans="1:5" x14ac:dyDescent="0.2">
      <c r="A4" t="s">
        <v>3</v>
      </c>
      <c r="B4" t="s">
        <v>9</v>
      </c>
      <c r="C4">
        <v>1</v>
      </c>
      <c r="D4">
        <v>26</v>
      </c>
      <c r="E4">
        <v>1</v>
      </c>
    </row>
    <row r="5" spans="1:5" x14ac:dyDescent="0.2">
      <c r="A5" t="s">
        <v>4</v>
      </c>
      <c r="B5" t="s">
        <v>7</v>
      </c>
      <c r="C5">
        <v>1</v>
      </c>
      <c r="D5">
        <v>20</v>
      </c>
      <c r="E5">
        <v>1</v>
      </c>
    </row>
    <row r="6" spans="1:5" x14ac:dyDescent="0.2">
      <c r="A6" t="s">
        <v>4</v>
      </c>
      <c r="B6" t="s">
        <v>9</v>
      </c>
      <c r="C6">
        <v>1</v>
      </c>
      <c r="D6">
        <v>26</v>
      </c>
      <c r="E6">
        <v>1</v>
      </c>
    </row>
    <row r="7" spans="1:5" x14ac:dyDescent="0.2">
      <c r="A7" t="s">
        <v>5</v>
      </c>
      <c r="B7" t="s">
        <v>7</v>
      </c>
      <c r="C7">
        <v>1</v>
      </c>
      <c r="D7">
        <v>20</v>
      </c>
      <c r="E7">
        <v>1</v>
      </c>
    </row>
    <row r="8" spans="1:5" x14ac:dyDescent="0.2">
      <c r="A8" t="s">
        <v>5</v>
      </c>
      <c r="B8" t="s">
        <v>50</v>
      </c>
      <c r="C8">
        <v>90</v>
      </c>
      <c r="D8">
        <v>24</v>
      </c>
      <c r="E8">
        <v>1</v>
      </c>
    </row>
    <row r="9" spans="1:5" x14ac:dyDescent="0.2">
      <c r="A9" t="s">
        <v>5</v>
      </c>
      <c r="B9" t="s">
        <v>8</v>
      </c>
      <c r="C9">
        <v>1</v>
      </c>
      <c r="D9">
        <v>28</v>
      </c>
      <c r="E9">
        <v>1</v>
      </c>
    </row>
    <row r="10" spans="1:5" x14ac:dyDescent="0.2">
      <c r="A10" t="s">
        <v>5</v>
      </c>
      <c r="B10" t="s">
        <v>9</v>
      </c>
      <c r="C10">
        <v>1</v>
      </c>
      <c r="D10">
        <v>26</v>
      </c>
      <c r="E10">
        <v>1</v>
      </c>
    </row>
    <row r="11" spans="1:5" x14ac:dyDescent="0.2">
      <c r="A11" t="s">
        <v>38</v>
      </c>
      <c r="B11" t="s">
        <v>7</v>
      </c>
      <c r="C11">
        <v>1</v>
      </c>
      <c r="D11">
        <v>20</v>
      </c>
      <c r="E11">
        <v>1</v>
      </c>
    </row>
    <row r="12" spans="1:5" x14ac:dyDescent="0.2">
      <c r="A12" t="s">
        <v>38</v>
      </c>
      <c r="B12" t="s">
        <v>49</v>
      </c>
      <c r="C12">
        <v>30</v>
      </c>
      <c r="D12">
        <v>22</v>
      </c>
      <c r="E12">
        <v>1</v>
      </c>
    </row>
    <row r="13" spans="1:5" x14ac:dyDescent="0.2">
      <c r="A13" t="s">
        <v>38</v>
      </c>
      <c r="B13" t="s">
        <v>8</v>
      </c>
      <c r="C13">
        <v>1</v>
      </c>
      <c r="D13">
        <v>28</v>
      </c>
      <c r="E13">
        <v>1</v>
      </c>
    </row>
    <row r="14" spans="1:5" x14ac:dyDescent="0.2">
      <c r="A14" t="s">
        <v>38</v>
      </c>
      <c r="B14" t="s">
        <v>9</v>
      </c>
      <c r="C14">
        <v>1</v>
      </c>
      <c r="D14">
        <v>26</v>
      </c>
      <c r="E14">
        <v>1</v>
      </c>
    </row>
    <row r="15" spans="1:5" x14ac:dyDescent="0.2">
      <c r="A15" t="s">
        <v>39</v>
      </c>
      <c r="B15" t="s">
        <v>7</v>
      </c>
      <c r="C15">
        <v>1</v>
      </c>
      <c r="D15">
        <v>20</v>
      </c>
      <c r="E15">
        <v>1</v>
      </c>
    </row>
    <row r="16" spans="1:5" x14ac:dyDescent="0.2">
      <c r="A16" t="s">
        <v>39</v>
      </c>
      <c r="B16" t="s">
        <v>49</v>
      </c>
      <c r="C16">
        <v>30</v>
      </c>
      <c r="D16">
        <v>22</v>
      </c>
      <c r="E16">
        <v>1</v>
      </c>
    </row>
    <row r="17" spans="1:5" x14ac:dyDescent="0.2">
      <c r="A17" t="s">
        <v>39</v>
      </c>
      <c r="B17" t="s">
        <v>8</v>
      </c>
      <c r="C17">
        <v>1</v>
      </c>
      <c r="D17">
        <v>28</v>
      </c>
      <c r="E17">
        <v>1</v>
      </c>
    </row>
    <row r="18" spans="1:5" x14ac:dyDescent="0.2">
      <c r="A18" t="s">
        <v>39</v>
      </c>
      <c r="B18" t="s">
        <v>9</v>
      </c>
      <c r="C18">
        <v>1</v>
      </c>
      <c r="D18">
        <v>26</v>
      </c>
      <c r="E18">
        <v>1</v>
      </c>
    </row>
    <row r="19" spans="1:5" x14ac:dyDescent="0.2">
      <c r="A19" t="s">
        <v>40</v>
      </c>
      <c r="B19" t="s">
        <v>7</v>
      </c>
      <c r="C19">
        <v>1</v>
      </c>
      <c r="D19">
        <v>20</v>
      </c>
      <c r="E19">
        <v>1</v>
      </c>
    </row>
    <row r="20" spans="1:5" x14ac:dyDescent="0.2">
      <c r="A20" t="s">
        <v>40</v>
      </c>
      <c r="B20" t="s">
        <v>8</v>
      </c>
      <c r="C20">
        <v>1</v>
      </c>
      <c r="D20">
        <v>28</v>
      </c>
      <c r="E20">
        <v>1</v>
      </c>
    </row>
    <row r="21" spans="1:5" x14ac:dyDescent="0.2">
      <c r="A21" t="s">
        <v>40</v>
      </c>
      <c r="B21" t="s">
        <v>9</v>
      </c>
      <c r="C21">
        <v>1</v>
      </c>
      <c r="D21">
        <v>26</v>
      </c>
      <c r="E21">
        <v>1</v>
      </c>
    </row>
    <row r="22" spans="1:5" x14ac:dyDescent="0.2">
      <c r="A22" t="s">
        <v>41</v>
      </c>
      <c r="B22" t="s">
        <v>7</v>
      </c>
      <c r="C22">
        <v>1</v>
      </c>
      <c r="D22">
        <v>20</v>
      </c>
      <c r="E22">
        <v>1</v>
      </c>
    </row>
    <row r="23" spans="1:5" x14ac:dyDescent="0.2">
      <c r="A23" t="s">
        <v>41</v>
      </c>
      <c r="B23" t="s">
        <v>8</v>
      </c>
      <c r="C23">
        <v>1</v>
      </c>
      <c r="D23">
        <v>28</v>
      </c>
      <c r="E23">
        <v>1</v>
      </c>
    </row>
    <row r="24" spans="1:5" x14ac:dyDescent="0.2">
      <c r="A24" t="s">
        <v>41</v>
      </c>
      <c r="B24" t="s">
        <v>9</v>
      </c>
      <c r="C24">
        <v>1</v>
      </c>
      <c r="D24">
        <v>26</v>
      </c>
      <c r="E24">
        <v>1</v>
      </c>
    </row>
    <row r="25" spans="1:5" x14ac:dyDescent="0.2">
      <c r="A25" t="s">
        <v>42</v>
      </c>
      <c r="B25" t="s">
        <v>7</v>
      </c>
      <c r="C25">
        <v>1</v>
      </c>
      <c r="D25">
        <v>20</v>
      </c>
      <c r="E25">
        <v>1</v>
      </c>
    </row>
    <row r="26" spans="1:5" x14ac:dyDescent="0.2">
      <c r="A26" t="s">
        <v>42</v>
      </c>
      <c r="B26" t="s">
        <v>49</v>
      </c>
      <c r="C26">
        <v>30</v>
      </c>
      <c r="D26">
        <v>22</v>
      </c>
      <c r="E26">
        <v>1</v>
      </c>
    </row>
    <row r="27" spans="1:5" x14ac:dyDescent="0.2">
      <c r="A27" t="s">
        <v>42</v>
      </c>
      <c r="B27" t="s">
        <v>8</v>
      </c>
      <c r="C27">
        <v>1</v>
      </c>
      <c r="D27">
        <v>28</v>
      </c>
      <c r="E27">
        <v>1</v>
      </c>
    </row>
    <row r="28" spans="1:5" x14ac:dyDescent="0.2">
      <c r="A28" t="s">
        <v>42</v>
      </c>
      <c r="B28" t="s">
        <v>9</v>
      </c>
      <c r="C28">
        <v>1</v>
      </c>
      <c r="D28">
        <v>26</v>
      </c>
      <c r="E2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D7" sqref="D7"/>
    </sheetView>
  </sheetViews>
  <sheetFormatPr baseColWidth="10" defaultColWidth="9.1640625" defaultRowHeight="15" x14ac:dyDescent="0.2"/>
  <sheetData>
    <row r="1" spans="1:3" x14ac:dyDescent="0.2">
      <c r="A1" s="1" t="s">
        <v>15</v>
      </c>
      <c r="B1" s="1" t="s">
        <v>16</v>
      </c>
      <c r="C1" s="1" t="s">
        <v>17</v>
      </c>
    </row>
    <row r="2" spans="1:3" x14ac:dyDescent="0.2">
      <c r="A2" t="s">
        <v>6</v>
      </c>
      <c r="B2">
        <v>1000000</v>
      </c>
      <c r="C2">
        <v>60000</v>
      </c>
    </row>
    <row r="3" spans="1:3" x14ac:dyDescent="0.2">
      <c r="A3" t="s">
        <v>7</v>
      </c>
      <c r="B3">
        <v>1000000</v>
      </c>
      <c r="C3">
        <v>100000</v>
      </c>
    </row>
    <row r="4" spans="1:3" x14ac:dyDescent="0.2">
      <c r="A4" t="s">
        <v>49</v>
      </c>
      <c r="B4">
        <v>1000000</v>
      </c>
      <c r="C4">
        <v>47000</v>
      </c>
    </row>
    <row r="5" spans="1:3" x14ac:dyDescent="0.2">
      <c r="A5" t="s">
        <v>50</v>
      </c>
      <c r="B5">
        <v>1000000</v>
      </c>
      <c r="C5">
        <v>100000</v>
      </c>
    </row>
    <row r="6" spans="1:3" x14ac:dyDescent="0.2">
      <c r="A6" t="s">
        <v>8</v>
      </c>
      <c r="B6">
        <v>1000000</v>
      </c>
      <c r="C6">
        <v>50000</v>
      </c>
    </row>
    <row r="7" spans="1:3" x14ac:dyDescent="0.2">
      <c r="A7" t="s">
        <v>9</v>
      </c>
      <c r="B7">
        <v>1000000</v>
      </c>
      <c r="C7">
        <v>150000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E3" sqref="E3"/>
    </sheetView>
  </sheetViews>
  <sheetFormatPr baseColWidth="10" defaultColWidth="9.1640625" defaultRowHeight="15" x14ac:dyDescent="0.2"/>
  <sheetData>
    <row r="1" spans="1: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>
        <v>30000</v>
      </c>
      <c r="B2">
        <v>10000</v>
      </c>
      <c r="C2">
        <v>100000</v>
      </c>
      <c r="D2">
        <v>20</v>
      </c>
      <c r="E2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C8F6-71F2-4BBE-9E6E-8A97D8FFD613}">
  <dimension ref="A1:B10"/>
  <sheetViews>
    <sheetView workbookViewId="0">
      <selection activeCell="C10" sqref="C10"/>
    </sheetView>
  </sheetViews>
  <sheetFormatPr baseColWidth="10" defaultRowHeight="15" x14ac:dyDescent="0.2"/>
  <sheetData>
    <row r="1" spans="1:2" ht="16" x14ac:dyDescent="0.2">
      <c r="A1" s="3" t="s">
        <v>22</v>
      </c>
      <c r="B1" s="3" t="s">
        <v>33</v>
      </c>
    </row>
    <row r="2" spans="1:2" x14ac:dyDescent="0.2">
      <c r="A2" t="s">
        <v>0</v>
      </c>
      <c r="B2" s="2">
        <v>0</v>
      </c>
    </row>
    <row r="3" spans="1:2" x14ac:dyDescent="0.2">
      <c r="A3" t="s">
        <v>1</v>
      </c>
      <c r="B3" s="2">
        <v>0</v>
      </c>
    </row>
    <row r="4" spans="1:2" x14ac:dyDescent="0.2">
      <c r="A4" t="s">
        <v>2</v>
      </c>
      <c r="B4" s="2">
        <v>73856</v>
      </c>
    </row>
    <row r="5" spans="1:2" x14ac:dyDescent="0.2">
      <c r="A5" t="s">
        <v>43</v>
      </c>
      <c r="B5" s="2">
        <v>91235</v>
      </c>
    </row>
    <row r="6" spans="1:2" x14ac:dyDescent="0.2">
      <c r="A6" t="s">
        <v>44</v>
      </c>
      <c r="B6" s="2">
        <v>188307</v>
      </c>
    </row>
    <row r="7" spans="1:2" x14ac:dyDescent="0.2">
      <c r="A7" t="s">
        <v>45</v>
      </c>
      <c r="B7" s="2">
        <v>5520</v>
      </c>
    </row>
    <row r="8" spans="1:2" x14ac:dyDescent="0.2">
      <c r="A8" t="s">
        <v>46</v>
      </c>
      <c r="B8" s="2">
        <v>0</v>
      </c>
    </row>
    <row r="9" spans="1:2" x14ac:dyDescent="0.2">
      <c r="A9" t="s">
        <v>47</v>
      </c>
      <c r="B9" s="2">
        <v>0</v>
      </c>
    </row>
    <row r="10" spans="1:2" x14ac:dyDescent="0.2">
      <c r="A10" t="s">
        <v>48</v>
      </c>
      <c r="B10" s="2">
        <v>23839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BE7F-B2FE-406B-91D1-3D89BE5069BA}">
  <dimension ref="A1:F9"/>
  <sheetViews>
    <sheetView topLeftCell="B1" workbookViewId="0">
      <selection activeCell="D2" sqref="D2"/>
    </sheetView>
  </sheetViews>
  <sheetFormatPr baseColWidth="10" defaultRowHeight="15" x14ac:dyDescent="0.2"/>
  <cols>
    <col min="3" max="3" width="20.33203125" customWidth="1"/>
    <col min="4" max="4" width="19.83203125" customWidth="1"/>
    <col min="8" max="8" width="19.83203125" customWidth="1"/>
  </cols>
  <sheetData>
    <row r="1" spans="1:6" ht="32" x14ac:dyDescent="0.2">
      <c r="A1" s="3" t="s">
        <v>26</v>
      </c>
      <c r="B1" s="3" t="s">
        <v>27</v>
      </c>
      <c r="C1" s="3" t="s">
        <v>57</v>
      </c>
      <c r="D1" s="3" t="s">
        <v>58</v>
      </c>
      <c r="E1" s="3" t="s">
        <v>28</v>
      </c>
      <c r="F1" s="3" t="s">
        <v>29</v>
      </c>
    </row>
    <row r="2" spans="1:6" ht="16" x14ac:dyDescent="0.2">
      <c r="A2" s="5" t="s">
        <v>30</v>
      </c>
      <c r="B2" s="5" t="s">
        <v>3</v>
      </c>
      <c r="C2" s="5" t="s">
        <v>56</v>
      </c>
      <c r="D2" s="5"/>
      <c r="E2" s="5" t="s">
        <v>3</v>
      </c>
      <c r="F2" s="5" t="s">
        <v>3</v>
      </c>
    </row>
    <row r="3" spans="1:6" ht="16" x14ac:dyDescent="0.2">
      <c r="A3" s="5" t="s">
        <v>31</v>
      </c>
      <c r="B3" s="5" t="s">
        <v>4</v>
      </c>
      <c r="C3" s="5" t="s">
        <v>42</v>
      </c>
      <c r="D3" s="5"/>
      <c r="E3" s="5" t="s">
        <v>56</v>
      </c>
      <c r="F3" s="5" t="s">
        <v>4</v>
      </c>
    </row>
    <row r="4" spans="1:6" ht="16" x14ac:dyDescent="0.2">
      <c r="A4" s="5" t="s">
        <v>32</v>
      </c>
      <c r="B4" s="5" t="s">
        <v>56</v>
      </c>
      <c r="C4" s="5"/>
      <c r="D4" s="5"/>
      <c r="E4" s="6" t="s">
        <v>5</v>
      </c>
      <c r="F4" s="5" t="s">
        <v>5</v>
      </c>
    </row>
    <row r="5" spans="1:6" ht="16" x14ac:dyDescent="0.2">
      <c r="A5" s="5" t="s">
        <v>51</v>
      </c>
      <c r="B5" s="5" t="s">
        <v>41</v>
      </c>
      <c r="C5" s="6"/>
      <c r="D5" s="6"/>
      <c r="E5" s="6" t="s">
        <v>40</v>
      </c>
      <c r="F5" s="5" t="s">
        <v>38</v>
      </c>
    </row>
    <row r="6" spans="1:6" ht="16" x14ac:dyDescent="0.2">
      <c r="A6" s="5" t="s">
        <v>52</v>
      </c>
      <c r="B6" s="5" t="s">
        <v>40</v>
      </c>
      <c r="C6" s="6"/>
      <c r="D6" s="6"/>
      <c r="E6" s="6" t="s">
        <v>41</v>
      </c>
      <c r="F6" s="5" t="s">
        <v>39</v>
      </c>
    </row>
    <row r="7" spans="1:6" ht="16" x14ac:dyDescent="0.2">
      <c r="A7" s="5" t="s">
        <v>53</v>
      </c>
      <c r="B7" s="5" t="s">
        <v>42</v>
      </c>
      <c r="C7" s="6"/>
      <c r="D7" s="6"/>
      <c r="E7" s="6" t="s">
        <v>42</v>
      </c>
      <c r="F7" s="5" t="s">
        <v>40</v>
      </c>
    </row>
    <row r="8" spans="1:6" ht="16" x14ac:dyDescent="0.2">
      <c r="A8" s="5" t="s">
        <v>54</v>
      </c>
      <c r="B8" s="5" t="s">
        <v>5</v>
      </c>
      <c r="C8" s="6"/>
      <c r="D8" s="6"/>
      <c r="E8" s="6"/>
      <c r="F8" s="5" t="s">
        <v>41</v>
      </c>
    </row>
    <row r="9" spans="1:6" ht="16" x14ac:dyDescent="0.2">
      <c r="A9" s="5" t="s">
        <v>55</v>
      </c>
      <c r="B9" s="6"/>
      <c r="C9" s="6"/>
      <c r="D9" s="6"/>
      <c r="E9" s="6"/>
      <c r="F9" s="5" t="s">
        <v>42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2327-A5E4-476F-B576-0948EA6CE53F}">
  <dimension ref="A1:F9"/>
  <sheetViews>
    <sheetView topLeftCell="B1" workbookViewId="0">
      <selection activeCell="D2" sqref="D2"/>
    </sheetView>
  </sheetViews>
  <sheetFormatPr baseColWidth="10" defaultRowHeight="15" x14ac:dyDescent="0.2"/>
  <cols>
    <col min="2" max="2" width="27.5" customWidth="1"/>
    <col min="3" max="3" width="17.6640625" customWidth="1"/>
    <col min="4" max="4" width="25.1640625" customWidth="1"/>
    <col min="5" max="5" width="11.5" customWidth="1"/>
  </cols>
  <sheetData>
    <row r="1" spans="1:6" ht="32" x14ac:dyDescent="0.2">
      <c r="A1" s="3" t="s">
        <v>26</v>
      </c>
      <c r="B1" s="3" t="s">
        <v>27</v>
      </c>
      <c r="C1" s="3" t="s">
        <v>57</v>
      </c>
      <c r="D1" s="3" t="s">
        <v>58</v>
      </c>
      <c r="E1" s="3" t="s">
        <v>28</v>
      </c>
      <c r="F1" s="3" t="s">
        <v>29</v>
      </c>
    </row>
    <row r="2" spans="1:6" ht="16" x14ac:dyDescent="0.2">
      <c r="A2" s="7" t="s">
        <v>30</v>
      </c>
      <c r="B2" s="7">
        <v>0</v>
      </c>
      <c r="C2" s="7">
        <v>415258</v>
      </c>
      <c r="D2" s="7"/>
      <c r="E2" s="7">
        <v>10000</v>
      </c>
      <c r="F2" s="7">
        <v>2716</v>
      </c>
    </row>
    <row r="3" spans="1:6" ht="16" x14ac:dyDescent="0.2">
      <c r="A3" s="7" t="s">
        <v>31</v>
      </c>
      <c r="B3" s="7">
        <v>0</v>
      </c>
      <c r="C3" s="7">
        <v>21630</v>
      </c>
      <c r="D3" s="7"/>
      <c r="E3" s="7">
        <v>56178</v>
      </c>
      <c r="F3" s="7">
        <v>16170</v>
      </c>
    </row>
    <row r="4" spans="1:6" ht="16" x14ac:dyDescent="0.2">
      <c r="A4" s="7" t="s">
        <v>32</v>
      </c>
      <c r="B4" s="7">
        <v>325054</v>
      </c>
      <c r="C4" s="7"/>
      <c r="D4" s="7"/>
      <c r="E4" s="8">
        <v>4900</v>
      </c>
      <c r="F4" s="7">
        <v>2496</v>
      </c>
    </row>
    <row r="5" spans="1:6" ht="16" x14ac:dyDescent="0.2">
      <c r="A5" s="7" t="s">
        <v>51</v>
      </c>
      <c r="B5" s="7">
        <v>0</v>
      </c>
      <c r="C5" s="8"/>
      <c r="D5" s="8"/>
      <c r="E5" s="8">
        <v>0</v>
      </c>
      <c r="F5" s="7">
        <v>26000</v>
      </c>
    </row>
    <row r="6" spans="1:6" ht="16" x14ac:dyDescent="0.2">
      <c r="A6" s="7" t="s">
        <v>52</v>
      </c>
      <c r="B6" s="7">
        <v>98571</v>
      </c>
      <c r="C6" s="8"/>
      <c r="D6" s="8"/>
      <c r="E6" s="8">
        <v>0</v>
      </c>
      <c r="F6" s="7">
        <v>49650</v>
      </c>
    </row>
    <row r="7" spans="1:6" ht="16" x14ac:dyDescent="0.2">
      <c r="A7" s="7" t="s">
        <v>53</v>
      </c>
      <c r="B7" s="7">
        <v>78675</v>
      </c>
      <c r="C7" s="8"/>
      <c r="D7" s="8"/>
      <c r="E7" s="8">
        <v>24750</v>
      </c>
      <c r="F7" s="7">
        <v>19195</v>
      </c>
    </row>
    <row r="8" spans="1:6" ht="16" x14ac:dyDescent="0.2">
      <c r="A8" s="7" t="s">
        <v>54</v>
      </c>
      <c r="B8" s="7">
        <v>49278</v>
      </c>
      <c r="C8" s="8"/>
      <c r="D8" s="8"/>
      <c r="E8" s="8"/>
      <c r="F8" s="7">
        <v>15925</v>
      </c>
    </row>
    <row r="9" spans="1:6" ht="16" x14ac:dyDescent="0.2">
      <c r="A9" s="7" t="s">
        <v>55</v>
      </c>
      <c r="B9" s="8"/>
      <c r="C9" s="8"/>
      <c r="D9" s="8"/>
      <c r="E9" s="8"/>
      <c r="F9" s="7">
        <v>10350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D937-0267-4F01-9601-BE1905BE4EA0}">
  <dimension ref="A1:B10"/>
  <sheetViews>
    <sheetView zoomScale="111" workbookViewId="0">
      <selection activeCell="B11" sqref="B11"/>
    </sheetView>
  </sheetViews>
  <sheetFormatPr baseColWidth="10" defaultRowHeight="15" x14ac:dyDescent="0.2"/>
  <sheetData>
    <row r="1" spans="1:2" ht="16" x14ac:dyDescent="0.2">
      <c r="A1" s="3" t="s">
        <v>22</v>
      </c>
      <c r="B1" s="3" t="s">
        <v>34</v>
      </c>
    </row>
    <row r="2" spans="1:2" ht="16" x14ac:dyDescent="0.2">
      <c r="A2" s="2" t="s">
        <v>0</v>
      </c>
      <c r="B2" s="2">
        <v>0</v>
      </c>
    </row>
    <row r="3" spans="1:2" ht="16" x14ac:dyDescent="0.2">
      <c r="A3" s="2" t="s">
        <v>1</v>
      </c>
      <c r="B3" s="2">
        <v>0</v>
      </c>
    </row>
    <row r="4" spans="1:2" ht="16" x14ac:dyDescent="0.2">
      <c r="A4" s="2" t="s">
        <v>2</v>
      </c>
      <c r="B4" s="2">
        <v>0</v>
      </c>
    </row>
    <row r="5" spans="1:2" ht="16" x14ac:dyDescent="0.2">
      <c r="A5" s="2" t="s">
        <v>43</v>
      </c>
      <c r="B5" s="2">
        <v>0</v>
      </c>
    </row>
    <row r="6" spans="1:2" ht="16" x14ac:dyDescent="0.2">
      <c r="A6" s="2" t="s">
        <v>44</v>
      </c>
      <c r="B6" s="2">
        <v>0</v>
      </c>
    </row>
    <row r="7" spans="1:2" ht="16" x14ac:dyDescent="0.2">
      <c r="A7" s="2" t="s">
        <v>45</v>
      </c>
      <c r="B7" s="2">
        <v>0</v>
      </c>
    </row>
    <row r="8" spans="1:2" ht="16" x14ac:dyDescent="0.2">
      <c r="A8" s="2" t="s">
        <v>46</v>
      </c>
      <c r="B8" s="2">
        <v>0</v>
      </c>
    </row>
    <row r="9" spans="1:2" ht="16" x14ac:dyDescent="0.2">
      <c r="A9" s="2" t="s">
        <v>47</v>
      </c>
      <c r="B9" s="2">
        <v>0</v>
      </c>
    </row>
    <row r="10" spans="1:2" ht="16" x14ac:dyDescent="0.2">
      <c r="A10" s="2" t="s">
        <v>48</v>
      </c>
      <c r="B10" s="2">
        <v>0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F195-7946-4604-8D00-5847C2C9570D}">
  <dimension ref="A1:B1"/>
  <sheetViews>
    <sheetView workbookViewId="0">
      <selection activeCell="A2" sqref="A2:B4"/>
    </sheetView>
  </sheetViews>
  <sheetFormatPr baseColWidth="10" defaultRowHeight="15" x14ac:dyDescent="0.2"/>
  <sheetData>
    <row r="1" spans="1:2" x14ac:dyDescent="0.2">
      <c r="A1" s="1" t="s">
        <v>18</v>
      </c>
      <c r="B1" s="4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13FF-0759-4DFC-A2CA-A4866E3FA133}">
  <dimension ref="A1:D1"/>
  <sheetViews>
    <sheetView workbookViewId="0">
      <selection activeCell="A2" sqref="A2:D6"/>
    </sheetView>
  </sheetViews>
  <sheetFormatPr baseColWidth="10" defaultRowHeight="15" x14ac:dyDescent="0.2"/>
  <cols>
    <col min="2" max="2" width="19.5" customWidth="1"/>
  </cols>
  <sheetData>
    <row r="1" spans="1:4" x14ac:dyDescent="0.2">
      <c r="A1" s="1" t="s">
        <v>18</v>
      </c>
      <c r="B1" s="1" t="s">
        <v>15</v>
      </c>
      <c r="C1" s="1" t="s">
        <v>36</v>
      </c>
      <c r="D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Set_T</vt:lpstr>
      <vt:lpstr>Set_A</vt:lpstr>
      <vt:lpstr>Set_N</vt:lpstr>
      <vt:lpstr>Set_P</vt:lpstr>
      <vt:lpstr>Demands</vt:lpstr>
      <vt:lpstr>Recipes</vt:lpstr>
      <vt:lpstr>Routes_Taus</vt:lpstr>
      <vt:lpstr>Capacities</vt:lpstr>
      <vt:lpstr>Scalars</vt:lpstr>
      <vt:lpstr>Inv_Inicial_Alcoholes</vt:lpstr>
      <vt:lpstr>Asignacion_de_Grupos_N(p)</vt:lpstr>
      <vt:lpstr>Inv_Inicial_Grupos_N(p)</vt:lpstr>
      <vt:lpstr>LLegadas_Alcoholes_Omega</vt:lpstr>
      <vt:lpstr>Backlog_Inicial</vt:lpstr>
      <vt:lpstr>Inventario_Antiguo_Gamma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Paz de la Vega</cp:lastModifiedBy>
  <dcterms:created xsi:type="dcterms:W3CDTF">2026-02-02T02:48:02Z</dcterms:created>
  <dcterms:modified xsi:type="dcterms:W3CDTF">2026-04-08T20:45:32Z</dcterms:modified>
</cp:coreProperties>
</file>