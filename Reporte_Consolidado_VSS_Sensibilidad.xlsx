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github/pisco-production-planning/"/>
    </mc:Choice>
  </mc:AlternateContent>
  <xr:revisionPtr revIDLastSave="0" documentId="13_ncr:1_{A8216469-200B-E346-A64C-3A717BC1B2C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VSS IS" sheetId="1" r:id="rId1"/>
    <sheet name="O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<sst xmlns="http://schemas.openxmlformats.org/spreadsheetml/2006/main" count="27" uniqueCount="23">
  <si>
    <t>Simulación</t>
  </si>
  <si>
    <t>Semilla</t>
  </si>
  <si>
    <t>Escenarios</t>
  </si>
  <si>
    <t>EV (Det base)</t>
  </si>
  <si>
    <t>RP (GAP 0.001)</t>
  </si>
  <si>
    <t>EEV (GAP 0.001)</t>
  </si>
  <si>
    <t>Det OOS Estático</t>
  </si>
  <si>
    <t>Estoc OOS Estático</t>
  </si>
  <si>
    <t>VSS OOS Estático</t>
  </si>
  <si>
    <t>VSS OOS Estático %</t>
  </si>
  <si>
    <t>PROMEDIO</t>
  </si>
  <si>
    <t>ESTATICO = ITERACIÓN 0 "BASE"</t>
  </si>
  <si>
    <t>DINAMICO = SUMA ITERACIONES (4)</t>
  </si>
  <si>
    <t>COSTOS OUT OF SAMPLE</t>
  </si>
  <si>
    <t>VSS OOS --&gt; RVSS</t>
  </si>
  <si>
    <t>valor realizado de la solución estocástica</t>
  </si>
  <si>
    <t>VSS OOS RH %</t>
  </si>
  <si>
    <t>VSS OOS RH</t>
  </si>
  <si>
    <t>Estoc OOS RH</t>
  </si>
  <si>
    <t>Det OOS RH</t>
  </si>
  <si>
    <t>VSS</t>
  </si>
  <si>
    <t>VSS %</t>
  </si>
  <si>
    <t>costo det - costo estoc 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</si>
</sst>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.0%"/>
    <numFmt numFmtId="166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42" fontId="0" fillId="0" borderId="0" xfId="1" applyFont="1"/>
    <xf numFmtId="164" fontId="0" fillId="0" borderId="0" xfId="2" applyNumberFormat="1" applyFont="1"/>
    <xf numFmtId="166" fontId="0" fillId="0" borderId="0" xfId="2" applyNumberFormat="1" applyFont="1"/>
    <xf numFmtId="0" fontId="2" fillId="0" borderId="1" xfId="0" applyFont="1" applyBorder="1" applyAlignment="1">
      <alignment horizontal="center" vertical="top"/>
    </xf>
    <xf numFmtId="10" fontId="3" fillId="2" borderId="0" xfId="2" applyNumberFormat="1" applyFont="1" applyFill="1"/>
    <xf numFmtId="164" fontId="3" fillId="2" borderId="0" xfId="2" applyNumberFormat="1" applyFont="1" applyFill="1"/>
  </cellXfs>
  <cellStyles count="3">
    <cellStyle name="Moneda [0]" xfId="1" builtinId="7"/>
    <cellStyle name="Normal" xfId="0" builtinId="0"/>
    <cellStyle name="Porcentaje" xfId="2" builtinId="5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35D9A-553A-6640-B87E-74C67100ADAF}" name="Tabla1" displayName="Tabla1" ref="A1:H12" totalsRowShown="0" headerRowDxfId="12" dataDxfId="13" headerRowBorderDxfId="19" tableBorderDxfId="20" dataCellStyle="Moneda [0]">
  <autoFilter ref="A1:H12" xr:uid="{27635D9A-553A-6640-B87E-74C67100AD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9B02BB-84A8-5C42-8491-4E31E727ADBE}" name="Simulación"/>
    <tableColumn id="2" xr3:uid="{84035F1F-ADC4-5241-9705-49957E194060}" name="Semilla"/>
    <tableColumn id="3" xr3:uid="{71D08886-3178-0143-AAE8-8111DD0EF71E}" name="Escenarios"/>
    <tableColumn id="4" xr3:uid="{41ED5D02-1623-5742-9505-C8812D487EB7}" name="EV (Det base)" dataDxfId="18" dataCellStyle="Moneda [0]"/>
    <tableColumn id="5" xr3:uid="{384F2041-3C41-B84D-BA9D-E1B80E1EDF8F}" name="RP (GAP 0.001)" dataDxfId="17" dataCellStyle="Moneda [0]"/>
    <tableColumn id="6" xr3:uid="{59D73D2A-177D-5446-85F2-C5C868105708}" name="EEV (GAP 0.001)" dataDxfId="16" dataCellStyle="Moneda [0]"/>
    <tableColumn id="7" xr3:uid="{D81F995F-AAFC-A34A-8595-91C1C3F4A94A}" name="VSS" dataDxfId="15" dataCellStyle="Moneda [0]"/>
    <tableColumn id="8" xr3:uid="{62E347C4-8A26-DC47-93A4-C2596276E732}" name="VSS %" dataDxfId="14" dataCellStyle="Porcentaj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40776-A995-3544-81FE-72A517CE41DB}" name="Tabla2" displayName="Tabla2" ref="A1:K12" totalsRowShown="0" headerRowDxfId="0" dataDxfId="1" headerRowBorderDxfId="10" tableBorderDxfId="11" dataCellStyle="Moneda [0]">
  <autoFilter ref="A1:K12" xr:uid="{C7B40776-A995-3544-81FE-72A517CE41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9A34AD0-7D0D-714E-B1C5-F79358B25C5F}" name="Simulación"/>
    <tableColumn id="2" xr3:uid="{3CC42680-B6ED-A34E-8879-D44148DA5868}" name="Semilla"/>
    <tableColumn id="3" xr3:uid="{3538E714-7E6C-A04C-B59E-CCB030A34A7D}" name="Escenarios"/>
    <tableColumn id="4" xr3:uid="{6A8B9480-4FAC-164D-93F0-74E877B16B66}" name="Det OOS Estático" dataDxfId="9" dataCellStyle="Moneda [0]"/>
    <tableColumn id="5" xr3:uid="{5282C23D-B634-9841-9E2E-7E4335F1DA67}" name="Estoc OOS Estático" dataDxfId="8" dataCellStyle="Moneda [0]"/>
    <tableColumn id="6" xr3:uid="{0788280F-3B4E-1E41-8D69-715EDB423907}" name="VSS OOS Estático" dataDxfId="7" dataCellStyle="Moneda [0]"/>
    <tableColumn id="7" xr3:uid="{4520A768-23B4-324C-8566-EA8D33FF240B}" name="VSS OOS Estático %" dataDxfId="6" dataCellStyle="Porcentaje"/>
    <tableColumn id="8" xr3:uid="{73194CC9-C7D7-4141-A481-1E73331AFDD7}" name="Det OOS RH" dataDxfId="5" dataCellStyle="Moneda [0]"/>
    <tableColumn id="9" xr3:uid="{01AF4905-9587-6B40-8C1A-15AA1FDF793A}" name="Estoc OOS RH" dataDxfId="4" dataCellStyle="Moneda [0]"/>
    <tableColumn id="10" xr3:uid="{CA8D37AE-3C88-1249-9B47-B678D6E0751F}" name="VSS OOS RH" dataDxfId="3" dataCellStyle="Moneda [0]"/>
    <tableColumn id="11" xr3:uid="{9F91E87D-8D56-2641-89CB-3D313FC72991}" name="VSS OOS RH %" dataDxfId="2" dataCellStyle="Porcentaj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zoomScale="213" workbookViewId="0">
      <selection activeCell="H13" sqref="H13"/>
    </sheetView>
  </sheetViews>
  <sheetFormatPr baseColWidth="10" defaultColWidth="8.83203125" defaultRowHeight="15" x14ac:dyDescent="0.2"/>
  <cols>
    <col min="1" max="1" width="10.83203125" customWidth="1"/>
    <col min="2" max="2" width="9.6640625" bestFit="1" customWidth="1"/>
    <col min="3" max="3" width="10.5" customWidth="1"/>
    <col min="4" max="5" width="14.33203125" bestFit="1" customWidth="1"/>
    <col min="6" max="6" width="15.1640625" customWidth="1"/>
    <col min="7" max="7" width="11.83203125" bestFit="1" customWidth="1"/>
    <col min="9" max="9" width="14" bestFit="1" customWidth="1"/>
    <col min="10" max="10" width="17.1640625" customWidth="1"/>
    <col min="11" max="11" width="14.83203125" customWidth="1"/>
    <col min="12" max="12" width="18" customWidth="1"/>
    <col min="13" max="13" width="15.33203125" bestFit="1" customWidth="1"/>
    <col min="14" max="14" width="16.83203125" bestFit="1" customWidth="1"/>
    <col min="15" max="15" width="15.5" bestFit="1" customWidth="1"/>
    <col min="16" max="16" width="17.3320312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20</v>
      </c>
      <c r="H1" s="4" t="s">
        <v>21</v>
      </c>
    </row>
    <row r="2" spans="1:8" x14ac:dyDescent="0.2">
      <c r="A2">
        <v>1</v>
      </c>
      <c r="B2">
        <v>51</v>
      </c>
      <c r="C2">
        <v>100</v>
      </c>
      <c r="D2" s="1">
        <v>2327702126.2983432</v>
      </c>
      <c r="E2" s="1">
        <v>2392723417.496654</v>
      </c>
      <c r="F2" s="1">
        <v>2405287746.6776891</v>
      </c>
      <c r="G2" s="1">
        <v>12564329.181034559</v>
      </c>
      <c r="H2" s="2">
        <v>5.2236283157344014E-3</v>
      </c>
    </row>
    <row r="3" spans="1:8" x14ac:dyDescent="0.2">
      <c r="A3">
        <v>2</v>
      </c>
      <c r="B3">
        <v>52</v>
      </c>
      <c r="C3">
        <v>100</v>
      </c>
      <c r="D3" s="1">
        <v>2327702126.2983432</v>
      </c>
      <c r="E3" s="1">
        <v>2396355573.3851151</v>
      </c>
      <c r="F3" s="1">
        <v>2414347105.330224</v>
      </c>
      <c r="G3" s="1">
        <v>17991531.945109371</v>
      </c>
      <c r="H3" s="2">
        <v>7.4519243340731497E-3</v>
      </c>
    </row>
    <row r="4" spans="1:8" x14ac:dyDescent="0.2">
      <c r="A4">
        <v>3</v>
      </c>
      <c r="B4">
        <v>53</v>
      </c>
      <c r="C4">
        <v>100</v>
      </c>
      <c r="D4" s="1">
        <v>2327702126.2983432</v>
      </c>
      <c r="E4" s="1">
        <v>2399546779.7879591</v>
      </c>
      <c r="F4" s="1">
        <v>2412407695.298059</v>
      </c>
      <c r="G4" s="1">
        <v>12860915.51010084</v>
      </c>
      <c r="H4" s="2">
        <v>5.3311534095864506E-3</v>
      </c>
    </row>
    <row r="5" spans="1:8" x14ac:dyDescent="0.2">
      <c r="A5">
        <v>4</v>
      </c>
      <c r="B5">
        <v>54</v>
      </c>
      <c r="C5">
        <v>100</v>
      </c>
      <c r="D5" s="1">
        <v>2327702126.2983432</v>
      </c>
      <c r="E5" s="1">
        <v>2397282351.39819</v>
      </c>
      <c r="F5" s="1">
        <v>2412909452.9242358</v>
      </c>
      <c r="G5" s="1">
        <v>15627101.52604628</v>
      </c>
      <c r="H5" s="2">
        <v>6.4764558434248706E-3</v>
      </c>
    </row>
    <row r="6" spans="1:8" x14ac:dyDescent="0.2">
      <c r="A6">
        <v>5</v>
      </c>
      <c r="B6">
        <v>55</v>
      </c>
      <c r="C6">
        <v>100</v>
      </c>
      <c r="D6" s="1">
        <v>2327702126.2983432</v>
      </c>
      <c r="E6" s="1">
        <v>2395479024.2098041</v>
      </c>
      <c r="F6" s="1">
        <v>2417978029.1501908</v>
      </c>
      <c r="G6" s="1">
        <v>22499004.940387249</v>
      </c>
      <c r="H6" s="2">
        <v>9.3048839440011879E-3</v>
      </c>
    </row>
    <row r="7" spans="1:8" x14ac:dyDescent="0.2">
      <c r="A7">
        <v>6</v>
      </c>
      <c r="B7">
        <v>56</v>
      </c>
      <c r="C7">
        <v>100</v>
      </c>
      <c r="D7" s="1">
        <v>2327702126.2983432</v>
      </c>
      <c r="E7" s="1">
        <v>2399239026.4890332</v>
      </c>
      <c r="F7" s="1">
        <v>2412624669.006041</v>
      </c>
      <c r="G7" s="1">
        <v>13385642.517007351</v>
      </c>
      <c r="H7" s="2">
        <v>5.548166148248E-3</v>
      </c>
    </row>
    <row r="8" spans="1:8" x14ac:dyDescent="0.2">
      <c r="A8">
        <v>7</v>
      </c>
      <c r="B8">
        <v>57</v>
      </c>
      <c r="C8">
        <v>100</v>
      </c>
      <c r="D8" s="1">
        <v>2327702126.2983432</v>
      </c>
      <c r="E8" s="1">
        <v>2396924079.187737</v>
      </c>
      <c r="F8" s="1">
        <v>2418940763.528791</v>
      </c>
      <c r="G8" s="1">
        <v>22016684.34105444</v>
      </c>
      <c r="H8" s="2">
        <v>9.1017873083159492E-3</v>
      </c>
    </row>
    <row r="9" spans="1:8" x14ac:dyDescent="0.2">
      <c r="A9">
        <v>8</v>
      </c>
      <c r="B9">
        <v>58</v>
      </c>
      <c r="C9">
        <v>100</v>
      </c>
      <c r="D9" s="1">
        <v>2327702126.2983432</v>
      </c>
      <c r="E9" s="1">
        <v>2404262326.9849429</v>
      </c>
      <c r="F9" s="1">
        <v>2412942889.4010921</v>
      </c>
      <c r="G9" s="1">
        <v>8680562.4161481857</v>
      </c>
      <c r="H9" s="2">
        <v>3.597500153972877E-3</v>
      </c>
    </row>
    <row r="10" spans="1:8" x14ac:dyDescent="0.2">
      <c r="A10">
        <v>9</v>
      </c>
      <c r="B10">
        <v>59</v>
      </c>
      <c r="C10">
        <v>100</v>
      </c>
      <c r="D10" s="1">
        <v>2327702126.2983432</v>
      </c>
      <c r="E10" s="1">
        <v>2396130271.393188</v>
      </c>
      <c r="F10" s="1">
        <v>2423110286.4011302</v>
      </c>
      <c r="G10" s="1">
        <v>26980015.00794268</v>
      </c>
      <c r="H10" s="2">
        <v>1.113445605813268E-2</v>
      </c>
    </row>
    <row r="11" spans="1:8" x14ac:dyDescent="0.2">
      <c r="A11">
        <v>10</v>
      </c>
      <c r="B11">
        <v>60</v>
      </c>
      <c r="C11">
        <v>100</v>
      </c>
      <c r="D11" s="1">
        <v>2327702126.2983432</v>
      </c>
      <c r="E11" s="1">
        <v>2398409164.7697392</v>
      </c>
      <c r="F11" s="1">
        <v>2415187061.7206378</v>
      </c>
      <c r="G11" s="1">
        <v>16777896.950898651</v>
      </c>
      <c r="H11" s="2">
        <v>6.9468312483198166E-3</v>
      </c>
    </row>
    <row r="12" spans="1:8" x14ac:dyDescent="0.2">
      <c r="A12">
        <v>11</v>
      </c>
      <c r="B12">
        <v>61</v>
      </c>
      <c r="C12">
        <v>100</v>
      </c>
      <c r="D12" s="1">
        <v>2327702126.2983432</v>
      </c>
      <c r="E12" s="1">
        <v>2393989865.5958738</v>
      </c>
      <c r="F12" s="1">
        <v>2423048708.681879</v>
      </c>
      <c r="G12" s="1">
        <v>29058843.08600473</v>
      </c>
      <c r="H12" s="2">
        <v>1.199267805962206E-2</v>
      </c>
    </row>
    <row r="13" spans="1:8" x14ac:dyDescent="0.2">
      <c r="B13" t="s">
        <v>10</v>
      </c>
      <c r="C13">
        <v>100</v>
      </c>
      <c r="D13" s="1">
        <f>+AVERAGE(Tabla1[EV (Det base)])</f>
        <v>2327702126.2983432</v>
      </c>
      <c r="E13" s="1">
        <f>+AVERAGE(Tabla1[RP (GAP 0.001)])</f>
        <v>2397303807.3362036</v>
      </c>
      <c r="F13" s="1">
        <f>+AVERAGE(Tabla1[EEV (GAP 0.001)])</f>
        <v>2415344037.1018157</v>
      </c>
      <c r="G13" s="1">
        <f>+AVERAGE(Tabla1[VSS])</f>
        <v>18040229.765612211</v>
      </c>
      <c r="H13" s="5">
        <f>+AVERAGE(Tabla1[VSS %])</f>
        <v>7.4644968021301324E-3</v>
      </c>
    </row>
    <row r="15" spans="1:8" x14ac:dyDescent="0.2">
      <c r="G15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09FA-845B-3741-9CC0-45EE8CD7B955}">
  <dimension ref="A1:K22"/>
  <sheetViews>
    <sheetView tabSelected="1" topLeftCell="F1" zoomScale="164" workbookViewId="0">
      <selection activeCell="K15" sqref="K15"/>
    </sheetView>
  </sheetViews>
  <sheetFormatPr baseColWidth="10" defaultRowHeight="15" x14ac:dyDescent="0.2"/>
  <cols>
    <col min="1" max="1" width="14" bestFit="1" customWidth="1"/>
    <col min="2" max="2" width="15.33203125" bestFit="1" customWidth="1"/>
    <col min="3" max="3" width="14.1640625" bestFit="1" customWidth="1"/>
    <col min="4" max="4" width="16" customWidth="1"/>
    <col min="5" max="5" width="17.5" customWidth="1"/>
    <col min="6" max="6" width="16.6640625" bestFit="1" customWidth="1"/>
    <col min="7" max="7" width="17.83203125" customWidth="1"/>
    <col min="8" max="8" width="17.33203125" bestFit="1" customWidth="1"/>
    <col min="9" max="9" width="18.5" customWidth="1"/>
    <col min="10" max="10" width="17.1640625" customWidth="1"/>
    <col min="11" max="11" width="19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19</v>
      </c>
      <c r="I1" s="4" t="s">
        <v>18</v>
      </c>
      <c r="J1" s="4" t="s">
        <v>17</v>
      </c>
      <c r="K1" s="4" t="s">
        <v>16</v>
      </c>
    </row>
    <row r="2" spans="1:11" x14ac:dyDescent="0.2">
      <c r="A2">
        <v>1</v>
      </c>
      <c r="B2">
        <v>51</v>
      </c>
      <c r="C2">
        <v>101</v>
      </c>
      <c r="D2" s="1">
        <v>995785697.87643862</v>
      </c>
      <c r="E2" s="1">
        <v>989575459.91965866</v>
      </c>
      <c r="F2" s="1">
        <v>6210237.9567799568</v>
      </c>
      <c r="G2" s="2">
        <v>6.2365205385291143E-3</v>
      </c>
      <c r="H2" s="1">
        <v>2996326861.8006158</v>
      </c>
      <c r="I2" s="1">
        <v>2899873183.9891319</v>
      </c>
      <c r="J2" s="1">
        <v>96453677.81148386</v>
      </c>
      <c r="K2" s="2">
        <v>3.2190639493022762E-2</v>
      </c>
    </row>
    <row r="3" spans="1:11" x14ac:dyDescent="0.2">
      <c r="A3">
        <v>2</v>
      </c>
      <c r="B3">
        <v>52</v>
      </c>
      <c r="C3">
        <v>101</v>
      </c>
      <c r="D3" s="1">
        <v>995785697.87643862</v>
      </c>
      <c r="E3" s="1">
        <v>1007312800.267481</v>
      </c>
      <c r="F3" s="1">
        <v>-11527102.39104235</v>
      </c>
      <c r="G3" s="2">
        <v>-1.1575886674838229E-2</v>
      </c>
      <c r="H3" s="1">
        <v>2996326861.8006158</v>
      </c>
      <c r="I3" s="1">
        <v>2956464346.0974588</v>
      </c>
      <c r="J3" s="1">
        <v>39862515.703156471</v>
      </c>
      <c r="K3" s="2">
        <v>1.3303794125852289E-2</v>
      </c>
    </row>
    <row r="4" spans="1:11" x14ac:dyDescent="0.2">
      <c r="A4">
        <v>3</v>
      </c>
      <c r="B4">
        <v>53</v>
      </c>
      <c r="C4">
        <v>101</v>
      </c>
      <c r="D4" s="1">
        <v>995785697.87643862</v>
      </c>
      <c r="E4" s="1">
        <v>973997707.42988682</v>
      </c>
      <c r="F4" s="1">
        <v>21787990.4465518</v>
      </c>
      <c r="G4" s="2">
        <v>2.1880200220806289E-2</v>
      </c>
      <c r="H4" s="1">
        <v>2996326861.8006158</v>
      </c>
      <c r="I4" s="1">
        <v>2906516017.6852489</v>
      </c>
      <c r="J4" s="1">
        <v>89810844.115366459</v>
      </c>
      <c r="K4" s="2">
        <v>2.997364715456826E-2</v>
      </c>
    </row>
    <row r="5" spans="1:11" x14ac:dyDescent="0.2">
      <c r="A5">
        <v>4</v>
      </c>
      <c r="B5">
        <v>54</v>
      </c>
      <c r="C5">
        <v>101</v>
      </c>
      <c r="D5" s="1">
        <v>995785697.87643862</v>
      </c>
      <c r="E5" s="1">
        <v>995788899.53231263</v>
      </c>
      <c r="F5" s="1">
        <v>-3201.6558740139012</v>
      </c>
      <c r="G5" s="2">
        <v>-3.215205722317149E-6</v>
      </c>
      <c r="H5" s="1">
        <v>2996326861.8006158</v>
      </c>
      <c r="I5" s="1">
        <v>2942254108.6066599</v>
      </c>
      <c r="J5" s="1">
        <v>54072753.193955421</v>
      </c>
      <c r="K5" s="2">
        <v>1.8046346639719029E-2</v>
      </c>
    </row>
    <row r="6" spans="1:11" x14ac:dyDescent="0.2">
      <c r="A6">
        <v>5</v>
      </c>
      <c r="B6">
        <v>55</v>
      </c>
      <c r="C6">
        <v>101</v>
      </c>
      <c r="D6" s="1">
        <v>995785697.87643862</v>
      </c>
      <c r="E6" s="1">
        <v>1000936785.164379</v>
      </c>
      <c r="F6" s="1">
        <v>-5151087.287940383</v>
      </c>
      <c r="G6" s="2">
        <v>-5.1728873982879314E-3</v>
      </c>
      <c r="H6" s="1">
        <v>2996326861.8006158</v>
      </c>
      <c r="I6" s="1">
        <v>2932662880.8683319</v>
      </c>
      <c r="J6" s="1">
        <v>63663980.932283401</v>
      </c>
      <c r="K6" s="2">
        <v>2.1247341785009762E-2</v>
      </c>
    </row>
    <row r="7" spans="1:11" x14ac:dyDescent="0.2">
      <c r="A7">
        <v>6</v>
      </c>
      <c r="B7">
        <v>56</v>
      </c>
      <c r="C7">
        <v>101</v>
      </c>
      <c r="D7" s="1">
        <v>995785697.87643862</v>
      </c>
      <c r="E7" s="1">
        <v>996954735.25434721</v>
      </c>
      <c r="F7" s="1">
        <v>-1169037.377908587</v>
      </c>
      <c r="G7" s="2">
        <v>-1.173984904986702E-3</v>
      </c>
      <c r="H7" s="1">
        <v>2996326861.8006158</v>
      </c>
      <c r="I7" s="1">
        <v>2973770817.2164159</v>
      </c>
      <c r="J7" s="1">
        <v>22556044.584199909</v>
      </c>
      <c r="K7" s="2">
        <v>7.5278985319529026E-3</v>
      </c>
    </row>
    <row r="8" spans="1:11" x14ac:dyDescent="0.2">
      <c r="A8">
        <v>7</v>
      </c>
      <c r="B8">
        <v>57</v>
      </c>
      <c r="C8">
        <v>101</v>
      </c>
      <c r="D8" s="1">
        <v>995785697.87643862</v>
      </c>
      <c r="E8" s="1">
        <v>1007312800.267481</v>
      </c>
      <c r="F8" s="1">
        <v>-11527102.39104235</v>
      </c>
      <c r="G8" s="2">
        <v>-1.1575886674838229E-2</v>
      </c>
      <c r="H8" s="1">
        <v>2996326861.8006158</v>
      </c>
      <c r="I8" s="1">
        <v>2435650865.8146238</v>
      </c>
      <c r="J8" s="1">
        <v>560675995.98599195</v>
      </c>
      <c r="K8" s="2">
        <v>0.18712110588931499</v>
      </c>
    </row>
    <row r="9" spans="1:11" x14ac:dyDescent="0.2">
      <c r="A9">
        <v>8</v>
      </c>
      <c r="B9">
        <v>58</v>
      </c>
      <c r="C9">
        <v>101</v>
      </c>
      <c r="D9" s="1">
        <v>995785697.87643862</v>
      </c>
      <c r="E9" s="1">
        <v>973997707.42991066</v>
      </c>
      <c r="F9" s="1">
        <v>21787990.446527962</v>
      </c>
      <c r="G9" s="2">
        <v>2.188020022078235E-2</v>
      </c>
      <c r="H9" s="1">
        <v>2996326861.8006158</v>
      </c>
      <c r="I9" s="1">
        <v>2914740989.7724061</v>
      </c>
      <c r="J9" s="1">
        <v>81585872.028210163</v>
      </c>
      <c r="K9" s="2">
        <v>2.7228628848316588E-2</v>
      </c>
    </row>
    <row r="10" spans="1:11" x14ac:dyDescent="0.2">
      <c r="A10">
        <v>9</v>
      </c>
      <c r="B10">
        <v>59</v>
      </c>
      <c r="C10">
        <v>101</v>
      </c>
      <c r="D10" s="1">
        <v>995785697.87643862</v>
      </c>
      <c r="E10" s="1">
        <v>1000936785.164344</v>
      </c>
      <c r="F10" s="1">
        <v>-5151087.2879053354</v>
      </c>
      <c r="G10" s="2">
        <v>-5.1728873982527356E-3</v>
      </c>
      <c r="H10" s="1">
        <v>2996326861.8006158</v>
      </c>
      <c r="I10" s="1">
        <v>2945976800.9858379</v>
      </c>
      <c r="J10" s="1">
        <v>50350060.814777851</v>
      </c>
      <c r="K10" s="2">
        <v>1.6803927988190321E-2</v>
      </c>
    </row>
    <row r="11" spans="1:11" x14ac:dyDescent="0.2">
      <c r="A11">
        <v>10</v>
      </c>
      <c r="B11">
        <v>60</v>
      </c>
      <c r="C11">
        <v>101</v>
      </c>
      <c r="D11" s="1">
        <v>995785697.87643862</v>
      </c>
      <c r="E11" s="1">
        <v>995655086.19001555</v>
      </c>
      <c r="F11" s="1">
        <v>130611.68642306329</v>
      </c>
      <c r="G11" s="2">
        <v>1.311644530561134E-4</v>
      </c>
      <c r="H11" s="1">
        <v>2996326861.8006158</v>
      </c>
      <c r="I11" s="1">
        <v>2774088335.069921</v>
      </c>
      <c r="J11" s="1">
        <v>222238526.73069519</v>
      </c>
      <c r="K11" s="2">
        <v>7.4170321523981869E-2</v>
      </c>
    </row>
    <row r="12" spans="1:11" x14ac:dyDescent="0.2">
      <c r="A12">
        <v>11</v>
      </c>
      <c r="B12">
        <v>61</v>
      </c>
      <c r="C12">
        <v>101</v>
      </c>
      <c r="D12" s="1">
        <v>995785697.87643862</v>
      </c>
      <c r="E12" s="1">
        <v>974045636.7044661</v>
      </c>
      <c r="F12" s="1">
        <v>21740061.171972509</v>
      </c>
      <c r="G12" s="2">
        <v>2.1832068102940472E-2</v>
      </c>
      <c r="H12" s="1">
        <v>2996326861.8006158</v>
      </c>
      <c r="I12" s="1">
        <v>2913548049.505929</v>
      </c>
      <c r="J12" s="1">
        <v>82778812.294687271</v>
      </c>
      <c r="K12" s="2">
        <v>2.7626763071149751E-2</v>
      </c>
    </row>
    <row r="13" spans="1:11" x14ac:dyDescent="0.2">
      <c r="C13" t="s">
        <v>10</v>
      </c>
      <c r="D13" s="1">
        <v>995785697.8764385</v>
      </c>
      <c r="E13" s="1">
        <v>992410400.30220747</v>
      </c>
      <c r="F13" s="1">
        <v>3375297.5742311152</v>
      </c>
      <c r="G13" s="5">
        <v>3.3895822981080178E-3</v>
      </c>
      <c r="H13" s="1">
        <v>2996326861.8006158</v>
      </c>
      <c r="I13" s="1">
        <v>2872322399.601088</v>
      </c>
      <c r="J13" s="1">
        <v>124004462.19952799</v>
      </c>
      <c r="K13" s="6">
        <f>+AVERAGE(Tabla2[VSS OOS RH %])</f>
        <v>4.1385492277370768E-2</v>
      </c>
    </row>
    <row r="15" spans="1:11" x14ac:dyDescent="0.2">
      <c r="D15" t="s">
        <v>22</v>
      </c>
    </row>
    <row r="16" spans="1:11" x14ac:dyDescent="0.2">
      <c r="D16" t="s">
        <v>11</v>
      </c>
    </row>
    <row r="17" spans="4:4" x14ac:dyDescent="0.2">
      <c r="D17" t="s">
        <v>12</v>
      </c>
    </row>
    <row r="19" spans="4:4" x14ac:dyDescent="0.2">
      <c r="D19" t="s">
        <v>13</v>
      </c>
    </row>
    <row r="21" spans="4:4" x14ac:dyDescent="0.2">
      <c r="D21" t="s">
        <v>14</v>
      </c>
    </row>
    <row r="22" spans="4:4" x14ac:dyDescent="0.2">
      <c r="D2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VSS IS</vt:lpstr>
      <vt:lpstr>OOS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2026-09-25T01:15:01Z</dcterms:created>
  <dcterms:modified xsi:type="dcterms:W3CDTF">2026-09-27T14:17:22Z</dcterms:modified>
</cp:coreProperties>
</file>